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avie\Desktop\"/>
    </mc:Choice>
  </mc:AlternateContent>
  <xr:revisionPtr revIDLastSave="0" documentId="13_ncr:1_{4ABDFE82-3B37-4FCC-BEAC-5B8FCE7EAB02}" xr6:coauthVersionLast="47" xr6:coauthVersionMax="47" xr10:uidLastSave="{00000000-0000-0000-0000-000000000000}"/>
  <bookViews>
    <workbookView xWindow="-108" yWindow="-108" windowWidth="23256" windowHeight="13176" activeTab="1" xr2:uid="{00000000-000D-0000-FFFF-FFFF00000000}"/>
  </bookViews>
  <sheets>
    <sheet name="Pagos" sheetId="5" r:id="rId1"/>
    <sheet name="Planificación y pagos" sheetId="6"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5" l="1"/>
  <c r="G16" i="5" s="1"/>
  <c r="W3" i="6"/>
  <c r="W2" i="6"/>
  <c r="G13" i="5"/>
  <c r="D12" i="5"/>
  <c r="K42" i="6" s="1"/>
  <c r="R51" i="6"/>
  <c r="Q51" i="6"/>
  <c r="L51" i="6"/>
  <c r="G51" i="6"/>
  <c r="G42" i="6"/>
  <c r="G41" i="6"/>
  <c r="L42" i="6"/>
  <c r="N42" i="6"/>
  <c r="R42" i="6"/>
  <c r="L43" i="6"/>
  <c r="R43" i="6"/>
  <c r="L44" i="6"/>
  <c r="N44" i="6"/>
  <c r="O44" i="6"/>
  <c r="P44" i="6"/>
  <c r="R44" i="6"/>
  <c r="L45" i="6"/>
  <c r="N45" i="6"/>
  <c r="O45" i="6"/>
  <c r="P45" i="6"/>
  <c r="R45" i="6"/>
  <c r="L46" i="6"/>
  <c r="R46" i="6"/>
  <c r="L47" i="6"/>
  <c r="N47" i="6"/>
  <c r="O47" i="6"/>
  <c r="P47" i="6"/>
  <c r="R47" i="6"/>
  <c r="L48" i="6"/>
  <c r="N48" i="6"/>
  <c r="O48" i="6"/>
  <c r="P48" i="6"/>
  <c r="Q48" i="6"/>
  <c r="L49" i="6"/>
  <c r="R49" i="6"/>
  <c r="L50" i="6"/>
  <c r="N50" i="6"/>
  <c r="O50" i="6"/>
  <c r="P50" i="6"/>
  <c r="R50" i="6"/>
  <c r="G50" i="6"/>
  <c r="G43" i="6"/>
  <c r="G44" i="6"/>
  <c r="G45" i="6"/>
  <c r="G46" i="6"/>
  <c r="G47" i="6"/>
  <c r="G48" i="6"/>
  <c r="G49" i="6"/>
  <c r="K41" i="6"/>
  <c r="L41" i="6"/>
  <c r="M41" i="6"/>
  <c r="N41" i="6"/>
  <c r="O41" i="6"/>
  <c r="P41" i="6"/>
  <c r="Q41" i="6"/>
  <c r="R41" i="6"/>
  <c r="G53" i="6"/>
  <c r="H12" i="5"/>
  <c r="I12" i="5" s="1"/>
  <c r="P42" i="6" s="1"/>
  <c r="G19" i="5" l="1"/>
  <c r="K18" i="5"/>
  <c r="E27" i="5"/>
  <c r="O42" i="6"/>
  <c r="F12" i="5"/>
  <c r="M42" i="6" s="1"/>
  <c r="H13" i="5" l="1"/>
  <c r="O43" i="6" s="1"/>
  <c r="N43" i="6"/>
  <c r="D13" i="5"/>
  <c r="D32" i="5"/>
  <c r="I13" i="5" l="1"/>
  <c r="F13" i="5"/>
  <c r="M43" i="6" s="1"/>
  <c r="K43" i="6"/>
  <c r="P43" i="6" l="1"/>
  <c r="J12" i="5"/>
  <c r="E33" i="5"/>
  <c r="D33" i="5"/>
  <c r="D14" i="5"/>
  <c r="K44" i="6" s="1"/>
  <c r="F14" i="5" l="1"/>
  <c r="M44" i="6" s="1"/>
  <c r="D16" i="5" l="1"/>
  <c r="K46" i="6" s="1"/>
  <c r="D34" i="5"/>
  <c r="D15" i="5"/>
  <c r="K45" i="6" s="1"/>
  <c r="R48" i="6" l="1"/>
  <c r="F16" i="5"/>
  <c r="D17" i="5" s="1"/>
  <c r="F15" i="5"/>
  <c r="D18" i="5" s="1"/>
  <c r="M45" i="6" l="1"/>
  <c r="H19" i="5"/>
  <c r="O49" i="6" s="1"/>
  <c r="N49" i="6"/>
  <c r="J13" i="5"/>
  <c r="Q42" i="6"/>
  <c r="H16" i="5"/>
  <c r="O46" i="6" s="1"/>
  <c r="N46" i="6"/>
  <c r="D36" i="5"/>
  <c r="M46" i="6"/>
  <c r="D19" i="5"/>
  <c r="F19" i="5" s="1"/>
  <c r="D35" i="5"/>
  <c r="F17" i="5"/>
  <c r="K47" i="6"/>
  <c r="F18" i="5"/>
  <c r="K48" i="6"/>
  <c r="I19" i="5" l="1"/>
  <c r="P49" i="6" s="1"/>
  <c r="I16" i="5"/>
  <c r="P46" i="6" s="1"/>
  <c r="J14" i="5"/>
  <c r="Q43" i="6"/>
  <c r="K49" i="6"/>
  <c r="D38" i="5"/>
  <c r="M48" i="6"/>
  <c r="D37" i="5"/>
  <c r="M47" i="6"/>
  <c r="M49" i="6"/>
  <c r="D20" i="5"/>
  <c r="D39" i="5"/>
  <c r="E39" i="5" l="1"/>
  <c r="E36" i="5"/>
  <c r="J16" i="5"/>
  <c r="J15" i="5"/>
  <c r="Q45" i="6" s="1"/>
  <c r="Q44" i="6"/>
  <c r="F20" i="5"/>
  <c r="K50" i="6"/>
  <c r="J17" i="5" l="1"/>
  <c r="Q47" i="6" s="1"/>
  <c r="Q46" i="6"/>
  <c r="J19" i="5"/>
  <c r="M50" i="6"/>
  <c r="D40" i="5"/>
  <c r="D21" i="5"/>
  <c r="F21" i="5" l="1"/>
  <c r="M51" i="6" s="1"/>
  <c r="K51" i="6"/>
  <c r="Q49" i="6"/>
  <c r="J20" i="5"/>
  <c r="D41" i="5" l="1"/>
  <c r="E28" i="5"/>
  <c r="Q50" i="6"/>
  <c r="I21" i="5"/>
  <c r="P51" i="6" s="1"/>
  <c r="E41" i="5" l="1"/>
  <c r="G21" i="5"/>
  <c r="N51" i="6" s="1"/>
  <c r="H21" i="5" l="1"/>
  <c r="O51" i="6" s="1"/>
</calcChain>
</file>

<file path=xl/sharedStrings.xml><?xml version="1.0" encoding="utf-8"?>
<sst xmlns="http://schemas.openxmlformats.org/spreadsheetml/2006/main" count="50" uniqueCount="36">
  <si>
    <t>Presentación ITP</t>
  </si>
  <si>
    <t>Actividad</t>
  </si>
  <si>
    <t>Inicio</t>
  </si>
  <si>
    <t>Dias</t>
  </si>
  <si>
    <t>Final</t>
  </si>
  <si>
    <t>Contratación proyecto</t>
  </si>
  <si>
    <t>IVA</t>
  </si>
  <si>
    <t>Base</t>
  </si>
  <si>
    <t>Total</t>
  </si>
  <si>
    <t>N_Orden</t>
  </si>
  <si>
    <t>Pago preparación obra</t>
  </si>
  <si>
    <t>Redacción del Proyecto básico y presentación al ayuntamiento</t>
  </si>
  <si>
    <t>Redacción proyecto ejecutivo, visado y presentación ayuntamiento</t>
  </si>
  <si>
    <t>Pago inicio obra</t>
  </si>
  <si>
    <t>Inicio obra</t>
  </si>
  <si>
    <t>Pago licencia de obra (Ajuntamiento)</t>
  </si>
  <si>
    <t>Certificaciones de obra ( con la ultima la obra queda pagada)</t>
  </si>
  <si>
    <t>Obtención licencia</t>
  </si>
  <si>
    <t>Pagos habituales ayto</t>
  </si>
  <si>
    <t>Ppto pendiente pago c/IVA</t>
  </si>
  <si>
    <t>Minimo</t>
  </si>
  <si>
    <t>Máximo</t>
  </si>
  <si>
    <t>PLANIFICACION Y PLAN DE PAGOS</t>
  </si>
  <si>
    <t>TABLA DE DATOS PARA DISPLAY PAGOS</t>
  </si>
  <si>
    <t>TABLA DE DATOS PARA DISPLAY GANTT</t>
  </si>
  <si>
    <t>*Las cantidades indicadas en este gráfico se abonan en la fecha final del periodo donde se muestran, excepto las certificaciones que se van abonando a medida que la obra avanza hasta que esta finaliza</t>
  </si>
  <si>
    <t>*Las cifras que aparecen en esta planificación se plantean en base a la gama PREMIUM del presupuesto inicial que acompaña este documento. Se han determinado plazos de tiempo medios para la contratación del proyecto, la obtención de licencia de obra, el pago para la preparación de obra y para el inicio de esta, así como para el pago de la licencia de obra y el inicio efectivo de la obra. También se ha considerado un estimado medio el porcentaje para el calculo del coste de la licencia de obras a abonar al ayuntamiento. Se ha considerado el plazo de ejecución habitual en una casa de 100m2. El concepto preparación de la obra implica poder abonar a la empresa de esctucturas las cantidades necesarias para el calculo que el arquitecto necesita para redactar el proyecto ejecutivo que permitirá obtener la  licencia de obras del ayuntamiento. Sin este pago no se puede continuar con el proceso.</t>
  </si>
  <si>
    <t>TOMA DE DATOS</t>
  </si>
  <si>
    <t>Nombre cliente</t>
  </si>
  <si>
    <t>Dirección construcción</t>
  </si>
  <si>
    <t xml:space="preserve">TABLA DE PLANIFICACION Y PAGOS </t>
  </si>
  <si>
    <t>Total presupuesto PREMIUM s/IVA</t>
  </si>
  <si>
    <t>Total servicios y arquitectura PREMIUM s/IVA</t>
  </si>
  <si>
    <t>Fecha presentación ITP</t>
  </si>
  <si>
    <t>José Vila Sanchís</t>
  </si>
  <si>
    <t>C/ Artes Graficas n°18 La Pobla de Vallbona 46185
La Pobla de Vallbona 46185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</si>
</sst>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0.00\ &quot;€&quot;_-;\-* #,##0.00\ &quot;€&quot;_-;_-* &quot;-&quot;??\ &quot;€&quot;_-;_-@_-"/>
    <numFmt numFmtId="164" formatCode="#,##0.00\ &quot;€&quot;"/>
    <numFmt numFmtId="165" formatCode="0\ &quot;dias&quot;"/>
  </numFmts>
  <fonts count="20">
    <font>
      <sz val="12"/>
      <color rgb="FF000000"/>
      <name val="Aptos Narrow"/>
      <scheme val="minor"/>
    </font>
    <font>
      <sz val="11"/>
      <color theme="1"/>
      <name val="Aptos Narrow"/>
      <family val="2"/>
      <scheme val="minor"/>
    </font>
    <font>
      <sz val="11"/>
      <color theme="1"/>
      <name val="Aptos Narrow"/>
      <family val="2"/>
      <scheme val="minor"/>
    </font>
    <font>
      <sz val="12"/>
      <name val="Aptos Narrow"/>
    </font>
    <font>
      <b/>
      <sz val="18"/>
      <color rgb="FF11827E"/>
      <name val="Borna"/>
    </font>
    <font>
      <b/>
      <sz val="20"/>
      <color rgb="FF11827E"/>
      <name val="Borna"/>
    </font>
    <font>
      <b/>
      <sz val="14"/>
      <color rgb="FF11827E"/>
      <name val="Borna"/>
    </font>
    <font>
      <b/>
      <sz val="36"/>
      <color rgb="FF2E9CBB"/>
      <name val="Borna"/>
    </font>
    <font>
      <sz val="12"/>
      <color rgb="FF11827E"/>
      <name val="Borna"/>
    </font>
    <font>
      <b/>
      <sz val="18"/>
      <color rgb="FFA5A5A5"/>
      <name val="Borna"/>
    </font>
    <font>
      <sz val="12"/>
      <color rgb="FF000000"/>
      <name val="Aptos Narrow"/>
      <scheme val="minor"/>
    </font>
    <font>
      <sz val="11"/>
      <color theme="0"/>
      <name val="Aptos Narrow"/>
      <family val="2"/>
      <scheme val="minor"/>
    </font>
    <font>
      <sz val="10"/>
      <color rgb="FF000000"/>
      <name val="Aptos Narrow"/>
      <family val="2"/>
      <scheme val="minor"/>
    </font>
    <font>
      <sz val="9"/>
      <color rgb="FF000000"/>
      <name val="Aptos Narrow"/>
      <family val="2"/>
      <scheme val="minor"/>
    </font>
    <font>
      <sz val="12"/>
      <color rgb="FF000000"/>
      <name val="Aptos Narrow"/>
      <family val="2"/>
      <scheme val="minor"/>
    </font>
    <font>
      <sz val="11"/>
      <color rgb="FF000000"/>
      <name val="Aptos Narrow"/>
      <family val="2"/>
      <scheme val="minor"/>
    </font>
    <font>
      <b/>
      <sz val="12"/>
      <color rgb="FF000000"/>
      <name val="Aptos Narrow"/>
      <family val="2"/>
      <scheme val="minor"/>
    </font>
    <font>
      <b/>
      <sz val="32"/>
      <name val="Aptos Narrow"/>
      <family val="2"/>
      <scheme val="minor"/>
    </font>
    <font>
      <sz val="22"/>
      <color rgb="FF2E9CBB"/>
      <name val="Borna"/>
    </font>
    <font>
      <b/>
      <sz val="20"/>
      <color theme="0"/>
      <name val="Aptos Narrow"/>
      <family val="2"/>
      <scheme val="minor"/>
    </font>
  </fonts>
  <fills count="8">
    <fill>
      <patternFill patternType="none"/>
    </fill>
    <fill>
      <patternFill patternType="gray125"/>
    </fill>
    <fill>
      <patternFill patternType="solid">
        <fgColor theme="6"/>
      </patternFill>
    </fill>
    <fill>
      <patternFill patternType="solid">
        <fgColor theme="9" tint="0.79998168889431442"/>
        <bgColor indexed="65"/>
      </patternFill>
    </fill>
    <fill>
      <patternFill patternType="solid">
        <fgColor theme="9" tint="0.39997558519241921"/>
        <bgColor indexed="65"/>
      </patternFill>
    </fill>
    <fill>
      <patternFill patternType="solid">
        <fgColor theme="0"/>
        <bgColor indexed="64"/>
      </patternFill>
    </fill>
    <fill>
      <patternFill patternType="solid">
        <fgColor rgb="FFFFFF99"/>
        <bgColor indexed="64"/>
      </patternFill>
    </fill>
    <fill>
      <patternFill patternType="solid">
        <fgColor rgb="FFFF0000"/>
        <bgColor indexed="64"/>
      </patternFill>
    </fill>
  </fills>
  <borders count="15">
    <border>
      <left/>
      <right/>
      <top/>
      <bottom/>
      <diagonal/>
    </border>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diagonal/>
    </border>
  </borders>
  <cellStyleXfs count="5">
    <xf numFmtId="0" fontId="0" fillId="0" borderId="0"/>
    <xf numFmtId="44" fontId="10" fillId="0" borderId="0" applyFont="0" applyFill="0" applyBorder="0" applyAlignment="0" applyProtection="0"/>
    <xf numFmtId="0" fontId="11"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cellStyleXfs>
  <cellXfs count="84">
    <xf numFmtId="0" fontId="0" fillId="0" borderId="0" xfId="0"/>
    <xf numFmtId="0" fontId="4" fillId="0" borderId="0" xfId="0" applyFont="1" applyAlignment="1">
      <alignment horizontal="left"/>
    </xf>
    <xf numFmtId="0" fontId="5" fillId="0" borderId="0" xfId="0" applyFont="1" applyAlignment="1">
      <alignment horizontal="left"/>
    </xf>
    <xf numFmtId="164" fontId="6" fillId="0" borderId="0" xfId="0" applyNumberFormat="1" applyFont="1"/>
    <xf numFmtId="0" fontId="8" fillId="0" borderId="0" xfId="0" applyFont="1" applyAlignment="1">
      <alignment horizontal="left" vertical="top"/>
    </xf>
    <xf numFmtId="164" fontId="8" fillId="0" borderId="0" xfId="0" applyNumberFormat="1" applyFont="1" applyAlignment="1">
      <alignment vertical="top"/>
    </xf>
    <xf numFmtId="0" fontId="9" fillId="0" borderId="0" xfId="0" applyFont="1" applyAlignment="1">
      <alignment vertical="center" wrapText="1"/>
    </xf>
    <xf numFmtId="0" fontId="3" fillId="0" borderId="0" xfId="0" applyFont="1" applyAlignment="1">
      <alignment vertical="center" wrapText="1"/>
    </xf>
    <xf numFmtId="0" fontId="7" fillId="0" borderId="1" xfId="0" applyFont="1" applyBorder="1" applyAlignment="1">
      <alignment horizontal="center" vertical="center"/>
    </xf>
    <xf numFmtId="14" fontId="0" fillId="0" borderId="0" xfId="0" applyNumberFormat="1"/>
    <xf numFmtId="0" fontId="0" fillId="0" borderId="0" xfId="0" applyAlignment="1">
      <alignment horizontal="right"/>
    </xf>
    <xf numFmtId="0" fontId="12" fillId="0" borderId="0" xfId="0" applyFont="1" applyAlignment="1">
      <alignment vertical="top" wrapText="1"/>
    </xf>
    <xf numFmtId="0" fontId="13" fillId="0" borderId="0" xfId="0" applyFont="1" applyAlignment="1">
      <alignment horizontal="left" vertical="top" wrapText="1"/>
    </xf>
    <xf numFmtId="0" fontId="12" fillId="0" borderId="1" xfId="0" applyFont="1" applyBorder="1" applyAlignment="1">
      <alignment vertical="top" wrapText="1"/>
    </xf>
    <xf numFmtId="0" fontId="13" fillId="0" borderId="0" xfId="0" applyFont="1" applyAlignment="1">
      <alignment vertical="top" wrapText="1"/>
    </xf>
    <xf numFmtId="0" fontId="13" fillId="0" borderId="0" xfId="0" applyFont="1" applyAlignment="1">
      <alignment vertical="top"/>
    </xf>
    <xf numFmtId="0" fontId="11" fillId="2" borderId="3" xfId="2" applyBorder="1" applyAlignment="1">
      <alignment horizontal="center" vertical="center" wrapText="1"/>
    </xf>
    <xf numFmtId="0" fontId="11" fillId="2" borderId="4" xfId="2" applyBorder="1" applyAlignment="1">
      <alignment horizontal="center" vertical="center" wrapText="1"/>
    </xf>
    <xf numFmtId="14" fontId="1" fillId="4" borderId="2" xfId="4" applyNumberFormat="1" applyFont="1" applyBorder="1"/>
    <xf numFmtId="165" fontId="1" fillId="4" borderId="2" xfId="4" applyNumberFormat="1" applyFont="1" applyBorder="1"/>
    <xf numFmtId="44" fontId="1" fillId="4" borderId="2" xfId="4" applyNumberFormat="1" applyFont="1" applyBorder="1"/>
    <xf numFmtId="44" fontId="1" fillId="4" borderId="5" xfId="4" applyNumberFormat="1" applyFont="1" applyBorder="1"/>
    <xf numFmtId="14" fontId="1" fillId="5" borderId="2" xfId="3" applyNumberFormat="1" applyFont="1" applyFill="1" applyBorder="1"/>
    <xf numFmtId="165" fontId="1" fillId="5" borderId="2" xfId="3" applyNumberFormat="1" applyFont="1" applyFill="1" applyBorder="1"/>
    <xf numFmtId="44" fontId="1" fillId="5" borderId="2" xfId="3" applyNumberFormat="1" applyFont="1" applyFill="1" applyBorder="1"/>
    <xf numFmtId="44" fontId="1" fillId="5" borderId="5" xfId="3" applyNumberFormat="1" applyFont="1" applyFill="1" applyBorder="1"/>
    <xf numFmtId="14" fontId="15" fillId="0" borderId="2" xfId="0" applyNumberFormat="1" applyFont="1" applyBorder="1"/>
    <xf numFmtId="165" fontId="15" fillId="0" borderId="2" xfId="0" applyNumberFormat="1" applyFont="1" applyBorder="1"/>
    <xf numFmtId="44" fontId="15" fillId="0" borderId="2" xfId="1" applyFont="1" applyBorder="1"/>
    <xf numFmtId="44" fontId="15" fillId="0" borderId="5" xfId="1" applyFont="1" applyBorder="1"/>
    <xf numFmtId="0" fontId="0" fillId="0" borderId="2" xfId="0" applyBorder="1"/>
    <xf numFmtId="14" fontId="0" fillId="0" borderId="2" xfId="0" applyNumberFormat="1" applyBorder="1"/>
    <xf numFmtId="44" fontId="0" fillId="0" borderId="2" xfId="0" applyNumberFormat="1" applyBorder="1"/>
    <xf numFmtId="165" fontId="0" fillId="0" borderId="2" xfId="0" applyNumberFormat="1" applyBorder="1"/>
    <xf numFmtId="44" fontId="0" fillId="0" borderId="2" xfId="1" applyFont="1" applyBorder="1"/>
    <xf numFmtId="44" fontId="0" fillId="0" borderId="2" xfId="1" quotePrefix="1" applyFont="1" applyBorder="1"/>
    <xf numFmtId="14" fontId="3" fillId="0" borderId="0" xfId="0" applyNumberFormat="1" applyFont="1" applyAlignment="1">
      <alignment vertical="center" wrapText="1"/>
    </xf>
    <xf numFmtId="14" fontId="14" fillId="0" borderId="0" xfId="0" quotePrefix="1" applyNumberFormat="1" applyFont="1"/>
    <xf numFmtId="14" fontId="15" fillId="0" borderId="6" xfId="0" applyNumberFormat="1" applyFont="1" applyBorder="1"/>
    <xf numFmtId="165" fontId="15" fillId="0" borderId="6" xfId="0" applyNumberFormat="1" applyFont="1" applyBorder="1"/>
    <xf numFmtId="44" fontId="15" fillId="0" borderId="6" xfId="1" applyFont="1" applyBorder="1"/>
    <xf numFmtId="44" fontId="15" fillId="0" borderId="7" xfId="1" applyFont="1" applyBorder="1"/>
    <xf numFmtId="14" fontId="14" fillId="5" borderId="2" xfId="0" applyNumberFormat="1" applyFont="1" applyFill="1" applyBorder="1"/>
    <xf numFmtId="0" fontId="16" fillId="0" borderId="11" xfId="0" applyFont="1" applyBorder="1"/>
    <xf numFmtId="0" fontId="16" fillId="0" borderId="12" xfId="0" applyFont="1" applyBorder="1"/>
    <xf numFmtId="0" fontId="16" fillId="0" borderId="13" xfId="0" applyFont="1" applyBorder="1"/>
    <xf numFmtId="0" fontId="16" fillId="0" borderId="1" xfId="0" applyFont="1" applyBorder="1"/>
    <xf numFmtId="14" fontId="0" fillId="0" borderId="1" xfId="0" applyNumberFormat="1" applyBorder="1"/>
    <xf numFmtId="14" fontId="7" fillId="0" borderId="0" xfId="0" applyNumberFormat="1" applyFont="1" applyAlignment="1">
      <alignment horizontal="right"/>
    </xf>
    <xf numFmtId="0" fontId="0" fillId="0" borderId="14" xfId="0" applyBorder="1"/>
    <xf numFmtId="14" fontId="0" fillId="0" borderId="14" xfId="0" applyNumberFormat="1" applyBorder="1"/>
    <xf numFmtId="165" fontId="0" fillId="0" borderId="14" xfId="0" applyNumberFormat="1" applyBorder="1"/>
    <xf numFmtId="14" fontId="18" fillId="0" borderId="0" xfId="0" applyNumberFormat="1" applyFont="1" applyAlignment="1">
      <alignment horizontal="right" vertical="center"/>
    </xf>
    <xf numFmtId="0" fontId="19" fillId="7" borderId="8" xfId="0" applyFont="1" applyFill="1" applyBorder="1" applyAlignment="1">
      <alignment horizontal="center"/>
    </xf>
    <xf numFmtId="0" fontId="19" fillId="7" borderId="9" xfId="0" applyFont="1" applyFill="1" applyBorder="1" applyAlignment="1">
      <alignment horizontal="center"/>
    </xf>
    <xf numFmtId="0" fontId="19" fillId="7" borderId="10" xfId="0" applyFont="1" applyFill="1" applyBorder="1" applyAlignment="1">
      <alignment horizontal="center"/>
    </xf>
    <xf numFmtId="14" fontId="14" fillId="6" borderId="6" xfId="0" applyNumberFormat="1" applyFont="1" applyFill="1" applyBorder="1" applyAlignment="1">
      <alignment horizontal="right" wrapText="1"/>
    </xf>
    <xf numFmtId="14" fontId="0" fillId="6" borderId="6" xfId="0" applyNumberFormat="1" applyFill="1" applyBorder="1" applyAlignment="1">
      <alignment horizontal="right"/>
    </xf>
    <xf numFmtId="14" fontId="0" fillId="6" borderId="7" xfId="0" applyNumberFormat="1" applyFill="1" applyBorder="1" applyAlignment="1">
      <alignment horizontal="right"/>
    </xf>
    <xf numFmtId="0" fontId="14" fillId="0" borderId="0" xfId="0" applyFont="1" applyAlignment="1">
      <alignment horizontal="left" vertical="top" wrapText="1"/>
    </xf>
    <xf numFmtId="0" fontId="0" fillId="0" borderId="0" xfId="0" applyAlignment="1">
      <alignment horizontal="left" vertical="top" wrapText="1"/>
    </xf>
    <xf numFmtId="0" fontId="11" fillId="2" borderId="0" xfId="2" applyAlignment="1">
      <alignment horizontal="center"/>
    </xf>
    <xf numFmtId="44" fontId="0" fillId="6" borderId="3" xfId="1" applyFont="1" applyFill="1" applyBorder="1" applyAlignment="1">
      <alignment horizontal="right"/>
    </xf>
    <xf numFmtId="44" fontId="0" fillId="6" borderId="4" xfId="1" applyFont="1" applyFill="1" applyBorder="1" applyAlignment="1">
      <alignment horizontal="right"/>
    </xf>
    <xf numFmtId="44" fontId="0" fillId="6" borderId="2" xfId="1" applyFont="1" applyFill="1" applyBorder="1" applyAlignment="1">
      <alignment horizontal="right"/>
    </xf>
    <xf numFmtId="44" fontId="0" fillId="6" borderId="5" xfId="1" applyFont="1" applyFill="1" applyBorder="1" applyAlignment="1">
      <alignment horizontal="right"/>
    </xf>
    <xf numFmtId="14" fontId="0" fillId="6" borderId="2" xfId="0" applyNumberFormat="1" applyFill="1" applyBorder="1" applyAlignment="1">
      <alignment horizontal="right"/>
    </xf>
    <xf numFmtId="14" fontId="0" fillId="6" borderId="5" xfId="0" applyNumberFormat="1" applyFill="1" applyBorder="1" applyAlignment="1">
      <alignment horizontal="right"/>
    </xf>
    <xf numFmtId="14" fontId="14" fillId="6" borderId="2" xfId="0" applyNumberFormat="1" applyFont="1" applyFill="1" applyBorder="1" applyAlignment="1">
      <alignment horizontal="right"/>
    </xf>
    <xf numFmtId="0" fontId="15" fillId="0" borderId="13" xfId="0" applyFont="1" applyBorder="1" applyAlignment="1">
      <alignment horizontal="right"/>
    </xf>
    <xf numFmtId="0" fontId="15" fillId="0" borderId="6" xfId="0" applyFont="1" applyBorder="1" applyAlignment="1">
      <alignment horizontal="right"/>
    </xf>
    <xf numFmtId="0" fontId="12" fillId="0" borderId="1" xfId="0" applyFont="1" applyBorder="1" applyAlignment="1">
      <alignment horizontal="left" vertical="top" wrapText="1"/>
    </xf>
    <xf numFmtId="0" fontId="1" fillId="4" borderId="12" xfId="4" applyFont="1" applyBorder="1" applyAlignment="1">
      <alignment horizontal="right"/>
    </xf>
    <xf numFmtId="0" fontId="1" fillId="4" borderId="2" xfId="4" applyFont="1" applyBorder="1" applyAlignment="1">
      <alignment horizontal="right"/>
    </xf>
    <xf numFmtId="0" fontId="15" fillId="0" borderId="12" xfId="0" applyFont="1" applyBorder="1" applyAlignment="1">
      <alignment horizontal="right"/>
    </xf>
    <xf numFmtId="0" fontId="15" fillId="0" borderId="2" xfId="0" applyFont="1" applyBorder="1" applyAlignment="1">
      <alignment horizontal="right"/>
    </xf>
    <xf numFmtId="0" fontId="7" fillId="0" borderId="1" xfId="0" applyFont="1" applyBorder="1" applyAlignment="1">
      <alignment horizontal="center" vertical="center"/>
    </xf>
    <xf numFmtId="0" fontId="1" fillId="5" borderId="12" xfId="3" applyFont="1" applyFill="1" applyBorder="1" applyAlignment="1">
      <alignment horizontal="right"/>
    </xf>
    <xf numFmtId="0" fontId="1" fillId="5" borderId="2" xfId="3" applyFont="1" applyFill="1" applyBorder="1" applyAlignment="1">
      <alignment horizontal="right"/>
    </xf>
    <xf numFmtId="0" fontId="17" fillId="5" borderId="8" xfId="2" applyFont="1" applyFill="1" applyBorder="1" applyAlignment="1">
      <alignment horizontal="center"/>
    </xf>
    <xf numFmtId="0" fontId="17" fillId="5" borderId="9" xfId="2" applyFont="1" applyFill="1" applyBorder="1" applyAlignment="1">
      <alignment horizontal="center"/>
    </xf>
    <xf numFmtId="0" fontId="17" fillId="5" borderId="10" xfId="2" applyFont="1" applyFill="1" applyBorder="1" applyAlignment="1">
      <alignment horizontal="center"/>
    </xf>
    <xf numFmtId="0" fontId="11" fillId="2" borderId="11" xfId="2" applyBorder="1" applyAlignment="1">
      <alignment horizontal="right" vertical="center" wrapText="1"/>
    </xf>
    <xf numFmtId="0" fontId="11" fillId="2" borderId="3" xfId="2" applyBorder="1" applyAlignment="1">
      <alignment horizontal="right" vertical="center" wrapText="1"/>
    </xf>
  </cellXfs>
  <cellStyles count="5">
    <cellStyle name="20% - Énfasis6" xfId="3" builtinId="50"/>
    <cellStyle name="60% - Énfasis6" xfId="4" builtinId="52"/>
    <cellStyle name="Énfasis3" xfId="2" builtinId="37"/>
    <cellStyle name="Moneda" xfId="1" builtinId="4"/>
    <cellStyle name="Normal" xfId="0" builtinId="0"/>
  </cellStyles>
  <dxfs count="0"/>
  <tableStyles count="0" defaultTableStyle="TableStyleMedium2" defaultPivotStyle="PivotStyleLight16"/>
  <colors>
    <mruColors>
      <color rgb="FFFFFF99"/>
      <color rgb="FF2BB73F"/>
      <color rgb="FF2E9CBB"/>
      <color rgb="FF17505F"/>
      <color rgb="FF79A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200" b="1" i="0" u="none" strike="noStrike" kern="1200" spc="0" baseline="0">
                <a:solidFill>
                  <a:schemeClr val="tx1">
                    <a:lumMod val="65000"/>
                    <a:lumOff val="35000"/>
                  </a:schemeClr>
                </a:solidFill>
                <a:latin typeface="+mn-lt"/>
                <a:ea typeface="+mn-ea"/>
                <a:cs typeface="+mn-cs"/>
              </a:defRPr>
            </a:pPr>
            <a:r>
              <a:rPr lang="es-ES" sz="3200" b="1"/>
              <a:t>GANTT DE PLANIFICACION Y PAGOS </a:t>
            </a:r>
          </a:p>
        </c:rich>
      </c:tx>
      <c:layout>
        <c:manualLayout>
          <c:xMode val="edge"/>
          <c:yMode val="edge"/>
          <c:x val="0.31586417805574346"/>
          <c:y val="2.124688783282748E-2"/>
        </c:manualLayout>
      </c:layout>
      <c:overlay val="0"/>
      <c:spPr>
        <a:noFill/>
        <a:ln>
          <a:noFill/>
        </a:ln>
        <a:effectLst/>
      </c:spPr>
      <c:txPr>
        <a:bodyPr rot="0" spcFirstLastPara="1" vertOverflow="ellipsis" vert="horz" wrap="square" anchor="ctr" anchorCtr="1"/>
        <a:lstStyle/>
        <a:p>
          <a:pPr>
            <a:defRPr sz="32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27664169804861344"/>
          <c:y val="0.28352766570092963"/>
          <c:w val="0.71517644642245815"/>
          <c:h val="0.6750878346752931"/>
        </c:manualLayout>
      </c:layout>
      <c:barChart>
        <c:barDir val="bar"/>
        <c:grouping val="stacked"/>
        <c:varyColors val="0"/>
        <c:ser>
          <c:idx val="0"/>
          <c:order val="0"/>
          <c:tx>
            <c:v>Inicio proceso</c:v>
          </c:tx>
          <c:spPr>
            <a:noFill/>
            <a:ln>
              <a:noFill/>
            </a:ln>
            <a:effectLst/>
          </c:spPr>
          <c:invertIfNegative val="0"/>
          <c:cat>
            <c:strRef>
              <c:f>Pagos!$C$12:$C$21</c:f>
              <c:strCache>
                <c:ptCount val="10"/>
                <c:pt idx="0">
                  <c:v>Presentación ITP</c:v>
                </c:pt>
                <c:pt idx="1">
                  <c:v>Contratación proyecto</c:v>
                </c:pt>
                <c:pt idx="2">
                  <c:v>Redacción del Proyecto básico y presentación al ayuntamiento</c:v>
                </c:pt>
                <c:pt idx="3">
                  <c:v>Obtención licencia</c:v>
                </c:pt>
                <c:pt idx="4">
                  <c:v>Pago preparación obra</c:v>
                </c:pt>
                <c:pt idx="5">
                  <c:v>Redacción proyecto ejecutivo, visado y presentación ayuntamiento</c:v>
                </c:pt>
                <c:pt idx="6">
                  <c:v>Pago licencia de obra (Ajuntamiento)</c:v>
                </c:pt>
                <c:pt idx="7">
                  <c:v>Pago inicio obra</c:v>
                </c:pt>
                <c:pt idx="8">
                  <c:v>Inicio obra</c:v>
                </c:pt>
                <c:pt idx="9">
                  <c:v>Certificaciones de obra ( con la ultima la obra queda pagada)</c:v>
                </c:pt>
              </c:strCache>
            </c:strRef>
          </c:cat>
          <c:val>
            <c:numRef>
              <c:f>Pagos!$D$12:$D$21</c:f>
              <c:numCache>
                <c:formatCode>m/d/yyyy</c:formatCode>
                <c:ptCount val="10"/>
                <c:pt idx="0">
                  <c:v>45960</c:v>
                </c:pt>
                <c:pt idx="1">
                  <c:v>45960</c:v>
                </c:pt>
                <c:pt idx="2">
                  <c:v>45975</c:v>
                </c:pt>
                <c:pt idx="3">
                  <c:v>46003</c:v>
                </c:pt>
                <c:pt idx="4">
                  <c:v>46003</c:v>
                </c:pt>
                <c:pt idx="5">
                  <c:v>46010</c:v>
                </c:pt>
                <c:pt idx="6">
                  <c:v>46093</c:v>
                </c:pt>
                <c:pt idx="7">
                  <c:v>46093</c:v>
                </c:pt>
                <c:pt idx="8">
                  <c:v>46108</c:v>
                </c:pt>
                <c:pt idx="9">
                  <c:v>46123</c:v>
                </c:pt>
              </c:numCache>
            </c:numRef>
          </c:val>
          <c:extLst>
            <c:ext xmlns:c16="http://schemas.microsoft.com/office/drawing/2014/chart" uri="{C3380CC4-5D6E-409C-BE32-E72D297353CC}">
              <c16:uniqueId val="{00000000-F4AD-4482-8A51-4FC5237D3805}"/>
            </c:ext>
          </c:extLst>
        </c:ser>
        <c:ser>
          <c:idx val="1"/>
          <c:order val="1"/>
          <c:tx>
            <c:v>Dias proceso</c:v>
          </c:tx>
          <c:spPr>
            <a:solidFill>
              <a:srgbClr val="79AF37"/>
            </a:solidFill>
            <a:ln>
              <a:noFill/>
            </a:ln>
            <a:effectLst/>
          </c:spPr>
          <c:invertIfNegative val="0"/>
          <c:dLbls>
            <c:dLbl>
              <c:idx val="0"/>
              <c:tx>
                <c:rich>
                  <a:bodyPr/>
                  <a:lstStyle/>
                  <a:p>
                    <a:fld id="{A43F8480-AB8F-4426-936B-4DC4B493ABDC}" type="CELLRANGE">
                      <a:rPr lang="en-US"/>
                      <a:pPr/>
                      <a:t>[CELLRANGE]</a:t>
                    </a:fld>
                    <a:endParaRPr lang="en-US" baseline="0"/>
                  </a:p>
                  <a:p>
                    <a:fld id="{45EC0A3D-061F-49DA-BDDB-5DB27F43F233}"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F4AD-4482-8A51-4FC5237D3805}"/>
                </c:ext>
              </c:extLst>
            </c:dLbl>
            <c:dLbl>
              <c:idx val="1"/>
              <c:tx>
                <c:rich>
                  <a:bodyPr rot="0" spcFirstLastPara="1" vertOverflow="overflow" horzOverflow="overflow" vert="horz" wrap="square" lIns="38100" tIns="19050" rIns="38100" bIns="19050" anchor="t" anchorCtr="1">
                    <a:spAutoFit/>
                  </a:bodyPr>
                  <a:lstStyle/>
                  <a:p>
                    <a:pPr>
                      <a:defRPr sz="900" b="1" i="0" u="none" strike="noStrike" kern="1200" baseline="0">
                        <a:ln>
                          <a:noFill/>
                        </a:ln>
                        <a:solidFill>
                          <a:schemeClr val="tx1">
                            <a:lumMod val="75000"/>
                            <a:lumOff val="25000"/>
                          </a:schemeClr>
                        </a:solidFill>
                        <a:latin typeface="+mn-lt"/>
                        <a:ea typeface="+mn-ea"/>
                        <a:cs typeface="+mn-cs"/>
                      </a:defRPr>
                    </a:pPr>
                    <a:fld id="{D693A6BD-6FF3-4259-9B29-7D910945ECA6}" type="CELLRANGE">
                      <a:rPr lang="en-US" sz="1100">
                        <a:ln>
                          <a:noFill/>
                        </a:ln>
                        <a:solidFill>
                          <a:srgbClr val="17505F"/>
                        </a:solidFill>
                      </a:rPr>
                      <a:pPr>
                        <a:defRPr b="1">
                          <a:ln>
                            <a:noFill/>
                          </a:ln>
                        </a:defRPr>
                      </a:pPr>
                      <a:t>[CELLRANGE]</a:t>
                    </a:fld>
                    <a:endParaRPr lang="en-US" baseline="0">
                      <a:ln>
                        <a:noFill/>
                      </a:ln>
                      <a:solidFill>
                        <a:srgbClr val="17505F"/>
                      </a:solidFill>
                    </a:endParaRPr>
                  </a:p>
                  <a:p>
                    <a:pPr>
                      <a:defRPr b="1">
                        <a:ln>
                          <a:noFill/>
                        </a:ln>
                      </a:defRPr>
                    </a:pPr>
                    <a:fld id="{A3B84423-3E72-4368-A76B-3610675CC64E}" type="VALUE">
                      <a:rPr lang="en-US">
                        <a:ln>
                          <a:noFill/>
                        </a:ln>
                      </a:rPr>
                      <a:pPr>
                        <a:defRPr b="1">
                          <a:ln>
                            <a:noFill/>
                          </a:ln>
                        </a:defRPr>
                      </a:pPr>
                      <a:t>[VALOR]</a:t>
                    </a:fld>
                    <a:endParaRPr lang="es-ES"/>
                  </a:p>
                </c:rich>
              </c:tx>
              <c:spPr>
                <a:noFill/>
                <a:ln>
                  <a:noFill/>
                </a:ln>
                <a:effectLst/>
              </c:spPr>
              <c:txPr>
                <a:bodyPr rot="0" spcFirstLastPara="1" vertOverflow="overflow" horzOverflow="overflow" vert="horz" wrap="square" lIns="38100" tIns="19050" rIns="38100" bIns="19050" anchor="t"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F4AD-4482-8A51-4FC5237D3805}"/>
                </c:ext>
              </c:extLst>
            </c:dLbl>
            <c:dLbl>
              <c:idx val="2"/>
              <c:tx>
                <c:rich>
                  <a:bodyPr/>
                  <a:lstStyle/>
                  <a:p>
                    <a:fld id="{5F822854-946E-4F8F-8AF4-A3B7B7E01F53}" type="CELLRANGE">
                      <a:rPr lang="en-US"/>
                      <a:pPr/>
                      <a:t>[CELLRANGE]</a:t>
                    </a:fld>
                    <a:endParaRPr lang="en-US" baseline="0"/>
                  </a:p>
                  <a:p>
                    <a:fld id="{1B4920A5-F2D4-48E1-9BCF-46C5FBF733A3}"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F4AD-4482-8A51-4FC5237D3805}"/>
                </c:ext>
              </c:extLst>
            </c:dLbl>
            <c:dLbl>
              <c:idx val="3"/>
              <c:tx>
                <c:rich>
                  <a:bodyPr/>
                  <a:lstStyle/>
                  <a:p>
                    <a:fld id="{52397D24-162D-455C-A915-CCFEAEDB9904}" type="CELLRANGE">
                      <a:rPr lang="en-US"/>
                      <a:pPr/>
                      <a:t>[CELLRANGE]</a:t>
                    </a:fld>
                    <a:endParaRPr lang="en-US" baseline="0"/>
                  </a:p>
                  <a:p>
                    <a:fld id="{98213A33-4E45-4917-960A-5B94B551BCA4}"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F4AD-4482-8A51-4FC5237D3805}"/>
                </c:ext>
              </c:extLst>
            </c:dLbl>
            <c:dLbl>
              <c:idx val="4"/>
              <c:tx>
                <c:rich>
                  <a:bodyPr/>
                  <a:lstStyle/>
                  <a:p>
                    <a:fld id="{3D9E8541-D4EC-4F2B-85EC-A0CC3980BFD8}" type="CELLRANGE">
                      <a:rPr lang="en-US" sz="1100">
                        <a:solidFill>
                          <a:srgbClr val="17505F"/>
                        </a:solidFill>
                      </a:rPr>
                      <a:pPr/>
                      <a:t>[CELLRANGE]</a:t>
                    </a:fld>
                    <a:endParaRPr lang="en-US" baseline="0">
                      <a:solidFill>
                        <a:srgbClr val="17505F"/>
                      </a:solidFill>
                    </a:endParaRPr>
                  </a:p>
                  <a:p>
                    <a:fld id="{99C6AA9B-2C52-4D7B-B493-392D47098B8D}"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F4AD-4482-8A51-4FC5237D3805}"/>
                </c:ext>
              </c:extLst>
            </c:dLbl>
            <c:dLbl>
              <c:idx val="5"/>
              <c:tx>
                <c:rich>
                  <a:bodyPr/>
                  <a:lstStyle/>
                  <a:p>
                    <a:fld id="{3650F37E-3A77-4C66-A652-841384A5FF1E}" type="CELLRANGE">
                      <a:rPr lang="en-US"/>
                      <a:pPr/>
                      <a:t>[CELLRANGE]</a:t>
                    </a:fld>
                    <a:endParaRPr lang="en-US" baseline="0"/>
                  </a:p>
                  <a:p>
                    <a:fld id="{18CCE18F-0A99-49E1-A834-0734A217A803}"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F4AD-4482-8A51-4FC5237D3805}"/>
                </c:ext>
              </c:extLst>
            </c:dLbl>
            <c:dLbl>
              <c:idx val="6"/>
              <c:tx>
                <c:rich>
                  <a:bodyPr/>
                  <a:lstStyle/>
                  <a:p>
                    <a:fld id="{7963638F-355A-4552-A44A-465BFFA86A35}" type="CELLRANGE">
                      <a:rPr lang="en-US"/>
                      <a:pPr/>
                      <a:t>[CELLRANGE]</a:t>
                    </a:fld>
                    <a:endParaRPr lang="en-US" baseline="0"/>
                  </a:p>
                  <a:p>
                    <a:fld id="{E345A40F-87C3-49E5-B678-57DF9ABDE29C}"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F4AD-4482-8A51-4FC5237D3805}"/>
                </c:ext>
              </c:extLst>
            </c:dLbl>
            <c:dLbl>
              <c:idx val="7"/>
              <c:tx>
                <c:rich>
                  <a:bodyPr/>
                  <a:lstStyle/>
                  <a:p>
                    <a:fld id="{9A1E0AA7-E76D-475D-B85F-4D719CBC30A2}" type="CELLRANGE">
                      <a:rPr lang="en-US" sz="1100">
                        <a:solidFill>
                          <a:srgbClr val="17505F"/>
                        </a:solidFill>
                      </a:rPr>
                      <a:pPr/>
                      <a:t>[CELLRANGE]</a:t>
                    </a:fld>
                    <a:endParaRPr lang="en-US" baseline="0">
                      <a:solidFill>
                        <a:srgbClr val="17505F"/>
                      </a:solidFill>
                    </a:endParaRPr>
                  </a:p>
                  <a:p>
                    <a:fld id="{282CE870-8368-4F7D-B994-9A0CCCECB528}"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F4AD-4482-8A51-4FC5237D3805}"/>
                </c:ext>
              </c:extLst>
            </c:dLbl>
            <c:dLbl>
              <c:idx val="8"/>
              <c:tx>
                <c:rich>
                  <a:bodyPr/>
                  <a:lstStyle/>
                  <a:p>
                    <a:fld id="{F0D7F2D9-4871-4F13-88CC-3B5A86DDFC19}" type="CELLRANGE">
                      <a:rPr lang="en-US"/>
                      <a:pPr/>
                      <a:t>[CELLRANGE]</a:t>
                    </a:fld>
                    <a:endParaRPr lang="en-US" baseline="0"/>
                  </a:p>
                  <a:p>
                    <a:fld id="{9E4C3FCA-464E-47E9-928F-AFCBB18F2B3E}"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F4AD-4482-8A51-4FC5237D3805}"/>
                </c:ext>
              </c:extLst>
            </c:dLbl>
            <c:dLbl>
              <c:idx val="9"/>
              <c:tx>
                <c:rich>
                  <a:bodyPr/>
                  <a:lstStyle/>
                  <a:p>
                    <a:fld id="{2C445DD4-6CA7-4D7E-AC99-F9F07396B0E3}" type="CELLRANGE">
                      <a:rPr lang="en-US" sz="1100">
                        <a:solidFill>
                          <a:srgbClr val="17505F"/>
                        </a:solidFill>
                      </a:rPr>
                      <a:pPr/>
                      <a:t>[CELLRANGE]</a:t>
                    </a:fld>
                    <a:endParaRPr lang="en-US" baseline="0">
                      <a:solidFill>
                        <a:srgbClr val="17505F"/>
                      </a:solidFill>
                    </a:endParaRPr>
                  </a:p>
                  <a:p>
                    <a:fld id="{6221374E-1199-499A-A0D7-65DF37D4D349}" type="VALUE">
                      <a:rPr lang="en-US"/>
                      <a:pPr/>
                      <a:t>[VALOR]</a:t>
                    </a:fld>
                    <a:endParaRPr lang="es-ES"/>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F4AD-4482-8A51-4FC5237D3805}"/>
                </c:ext>
              </c:extLst>
            </c:dLbl>
            <c:spPr>
              <a:noFill/>
              <a:ln>
                <a:noFill/>
              </a:ln>
              <a:effectLst/>
            </c:spPr>
            <c:txPr>
              <a:bodyPr rot="0" spcFirstLastPara="1" vertOverflow="overflow" horzOverflow="overflow" vert="horz" wrap="square" lIns="38100" tIns="19050" rIns="38100" bIns="19050" anchor="t"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Pagos!$C$12:$C$21</c:f>
              <c:strCache>
                <c:ptCount val="10"/>
                <c:pt idx="0">
                  <c:v>Presentación ITP</c:v>
                </c:pt>
                <c:pt idx="1">
                  <c:v>Contratación proyecto</c:v>
                </c:pt>
                <c:pt idx="2">
                  <c:v>Redacción del Proyecto básico y presentación al ayuntamiento</c:v>
                </c:pt>
                <c:pt idx="3">
                  <c:v>Obtención licencia</c:v>
                </c:pt>
                <c:pt idx="4">
                  <c:v>Pago preparación obra</c:v>
                </c:pt>
                <c:pt idx="5">
                  <c:v>Redacción proyecto ejecutivo, visado y presentación ayuntamiento</c:v>
                </c:pt>
                <c:pt idx="6">
                  <c:v>Pago licencia de obra (Ajuntamiento)</c:v>
                </c:pt>
                <c:pt idx="7">
                  <c:v>Pago inicio obra</c:v>
                </c:pt>
                <c:pt idx="8">
                  <c:v>Inicio obra</c:v>
                </c:pt>
                <c:pt idx="9">
                  <c:v>Certificaciones de obra ( con la ultima la obra queda pagada)</c:v>
                </c:pt>
              </c:strCache>
            </c:strRef>
          </c:cat>
          <c:val>
            <c:numRef>
              <c:f>Pagos!$E$12:$E$21</c:f>
              <c:numCache>
                <c:formatCode>0\ "dias"</c:formatCode>
                <c:ptCount val="10"/>
                <c:pt idx="0">
                  <c:v>0</c:v>
                </c:pt>
                <c:pt idx="1">
                  <c:v>15</c:v>
                </c:pt>
                <c:pt idx="2">
                  <c:v>28</c:v>
                </c:pt>
                <c:pt idx="3">
                  <c:v>90</c:v>
                </c:pt>
                <c:pt idx="4">
                  <c:v>7</c:v>
                </c:pt>
                <c:pt idx="5">
                  <c:v>56</c:v>
                </c:pt>
                <c:pt idx="6">
                  <c:v>7</c:v>
                </c:pt>
                <c:pt idx="7">
                  <c:v>15</c:v>
                </c:pt>
                <c:pt idx="8">
                  <c:v>15</c:v>
                </c:pt>
                <c:pt idx="9">
                  <c:v>180</c:v>
                </c:pt>
              </c:numCache>
            </c:numRef>
          </c:val>
          <c:extLst>
            <c:ext xmlns:c15="http://schemas.microsoft.com/office/drawing/2012/chart" uri="{02D57815-91ED-43cb-92C2-25804820EDAC}">
              <c15:datalabelsRange>
                <c15:f>Pagos!$E$32:$E$41</c15:f>
                <c15:dlblRangeCache>
                  <c:ptCount val="10"/>
                  <c:pt idx="1">
                    <c:v> 33.924,77 € </c:v>
                  </c:pt>
                  <c:pt idx="4">
                    <c:v> 39.630,36 € </c:v>
                  </c:pt>
                  <c:pt idx="7">
                    <c:v> 79.260,72 € </c:v>
                  </c:pt>
                  <c:pt idx="9">
                    <c:v> 277.412,52 € </c:v>
                  </c:pt>
                </c15:dlblRangeCache>
              </c15:datalabelsRange>
            </c:ext>
            <c:ext xmlns:c16="http://schemas.microsoft.com/office/drawing/2014/chart" uri="{C3380CC4-5D6E-409C-BE32-E72D297353CC}">
              <c16:uniqueId val="{0000000B-F4AD-4482-8A51-4FC5237D3805}"/>
            </c:ext>
          </c:extLst>
        </c:ser>
        <c:dLbls>
          <c:showLegendKey val="0"/>
          <c:showVal val="0"/>
          <c:showCatName val="0"/>
          <c:showSerName val="0"/>
          <c:showPercent val="0"/>
          <c:showBubbleSize val="0"/>
        </c:dLbls>
        <c:gapWidth val="40"/>
        <c:overlap val="100"/>
        <c:axId val="1829460896"/>
        <c:axId val="1829461856"/>
      </c:barChart>
      <c:catAx>
        <c:axId val="1829460896"/>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ES"/>
          </a:p>
        </c:txPr>
        <c:crossAx val="1829461856"/>
        <c:crosses val="autoZero"/>
        <c:auto val="1"/>
        <c:lblAlgn val="ctr"/>
        <c:lblOffset val="100"/>
        <c:noMultiLvlLbl val="0"/>
      </c:catAx>
      <c:valAx>
        <c:axId val="1829461856"/>
        <c:scaling>
          <c:orientation val="minMax"/>
          <c:max val="46305"/>
          <c:min val="45960"/>
        </c:scaling>
        <c:delete val="0"/>
        <c:axPos val="t"/>
        <c:majorGridlines>
          <c:spPr>
            <a:ln w="12700" cap="flat" cmpd="sng" algn="ctr">
              <a:solidFill>
                <a:srgbClr val="2E9CBB">
                  <a:alpha val="67000"/>
                </a:srgbClr>
              </a:solidFill>
              <a:round/>
            </a:ln>
            <a:effectLst/>
          </c:spPr>
        </c:majorGridlines>
        <c:minorGridlines>
          <c:spPr>
            <a:ln w="9525" cap="flat" cmpd="sng" algn="ctr">
              <a:solidFill>
                <a:schemeClr val="tx1">
                  <a:lumMod val="5000"/>
                  <a:lumOff val="95000"/>
                </a:schemeClr>
              </a:solidFill>
              <a:round/>
            </a:ln>
            <a:effectLst/>
          </c:spPr>
        </c:minorGridlines>
        <c:numFmt formatCode="dd/mm/yy" sourceLinked="0"/>
        <c:majorTickMark val="none"/>
        <c:minorTickMark val="none"/>
        <c:tickLblPos val="nextTo"/>
        <c:spPr>
          <a:noFill/>
          <a:ln>
            <a:noFill/>
          </a:ln>
          <a:effectLst/>
        </c:spPr>
        <c:txPr>
          <a:bodyPr rot="-54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ES"/>
          </a:p>
        </c:txPr>
        <c:crossAx val="1829460896"/>
        <c:crosses val="autoZero"/>
        <c:crossBetween val="between"/>
        <c:maj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314325</xdr:colOff>
      <xdr:row>1</xdr:row>
      <xdr:rowOff>112395</xdr:rowOff>
    </xdr:from>
    <xdr:ext cx="1514475" cy="1057275"/>
    <xdr:pic>
      <xdr:nvPicPr>
        <xdr:cNvPr id="2" name="image1.png">
          <a:extLst>
            <a:ext uri="{FF2B5EF4-FFF2-40B4-BE49-F238E27FC236}">
              <a16:creationId xmlns:a16="http://schemas.microsoft.com/office/drawing/2014/main" id="{FF40F771-154E-418E-9B78-256C185EB431}"/>
            </a:ext>
          </a:extLst>
        </xdr:cNvPr>
        <xdr:cNvPicPr preferRelativeResize="0"/>
      </xdr:nvPicPr>
      <xdr:blipFill>
        <a:blip xmlns:r="http://schemas.openxmlformats.org/officeDocument/2006/relationships" r:embed="rId1" cstate="print"/>
        <a:stretch>
          <a:fillRect/>
        </a:stretch>
      </xdr:blipFill>
      <xdr:spPr>
        <a:xfrm>
          <a:off x="314325" y="310515"/>
          <a:ext cx="1514475" cy="1057275"/>
        </a:xfrm>
        <a:prstGeom prst="rect">
          <a:avLst/>
        </a:prstGeom>
        <a:noFill/>
      </xdr:spPr>
    </xdr:pic>
    <xdr:clientData fLocksWithSheet="0"/>
  </xdr:oneCellAnchor>
  <xdr:twoCellAnchor>
    <xdr:from>
      <xdr:col>1</xdr:col>
      <xdr:colOff>17414</xdr:colOff>
      <xdr:row>6</xdr:row>
      <xdr:rowOff>423454</xdr:rowOff>
    </xdr:from>
    <xdr:to>
      <xdr:col>22</xdr:col>
      <xdr:colOff>653141</xdr:colOff>
      <xdr:row>36</xdr:row>
      <xdr:rowOff>141515</xdr:rowOff>
    </xdr:to>
    <xdr:graphicFrame macro="">
      <xdr:nvGraphicFramePr>
        <xdr:cNvPr id="7" name="Gráfico 6">
          <a:extLst>
            <a:ext uri="{FF2B5EF4-FFF2-40B4-BE49-F238E27FC236}">
              <a16:creationId xmlns:a16="http://schemas.microsoft.com/office/drawing/2014/main" id="{796D743D-55C3-4D3B-8296-6752D49A8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A7873-54D1-4FC1-8C49-BFE14D17164A}">
  <sheetPr codeName="Hoja5">
    <tabColor rgb="FFFFFF00"/>
  </sheetPr>
  <dimension ref="B1:K41"/>
  <sheetViews>
    <sheetView topLeftCell="B1" workbookViewId="0">
      <selection activeCell="C10" sqref="C10:K10"/>
    </sheetView>
  </sheetViews>
  <sheetFormatPr baseColWidth="10" defaultRowHeight="15.6"/>
  <cols>
    <col min="1" max="1" width="2.5" customWidth="1"/>
    <col min="2" max="2" width="7.796875" customWidth="1"/>
    <col min="3" max="3" width="38.69921875" customWidth="1"/>
    <col min="4" max="5" width="16.796875" customWidth="1"/>
    <col min="6" max="6" width="15.796875" customWidth="1"/>
    <col min="7" max="7" width="12.5" bestFit="1" customWidth="1"/>
    <col min="8" max="8" width="11.5" bestFit="1" customWidth="1"/>
    <col min="9" max="9" width="12.5" bestFit="1" customWidth="1"/>
    <col min="10" max="10" width="22.19921875" bestFit="1" customWidth="1"/>
    <col min="11" max="11" width="18.5" bestFit="1" customWidth="1"/>
  </cols>
  <sheetData>
    <row r="1" spans="2:11" ht="16.2" thickBot="1"/>
    <row r="2" spans="2:11" ht="26.4" thickBot="1">
      <c r="C2" s="53" t="s">
        <v>27</v>
      </c>
      <c r="D2" s="54"/>
      <c r="E2" s="54"/>
      <c r="F2" s="55"/>
    </row>
    <row r="3" spans="2:11">
      <c r="C3" s="43" t="s">
        <v>31</v>
      </c>
      <c r="D3" s="62">
        <f>416350-D4</f>
        <v>388313</v>
      </c>
      <c r="E3" s="62"/>
      <c r="F3" s="63"/>
    </row>
    <row r="4" spans="2:11">
      <c r="C4" s="44" t="s">
        <v>32</v>
      </c>
      <c r="D4" s="64">
        <v>28037</v>
      </c>
      <c r="E4" s="64"/>
      <c r="F4" s="65"/>
    </row>
    <row r="5" spans="2:11">
      <c r="C5" s="44" t="s">
        <v>33</v>
      </c>
      <c r="D5" s="66">
        <v>45960</v>
      </c>
      <c r="E5" s="66"/>
      <c r="F5" s="67"/>
    </row>
    <row r="6" spans="2:11">
      <c r="C6" s="44" t="s">
        <v>28</v>
      </c>
      <c r="D6" s="68" t="s">
        <v>34</v>
      </c>
      <c r="E6" s="66"/>
      <c r="F6" s="67"/>
    </row>
    <row r="7" spans="2:11" ht="16.2" thickBot="1">
      <c r="C7" s="45" t="s">
        <v>29</v>
      </c>
      <c r="D7" s="56" t="s">
        <v>35</v>
      </c>
      <c r="E7" s="57"/>
      <c r="F7" s="58"/>
    </row>
    <row r="8" spans="2:11">
      <c r="C8" s="46"/>
      <c r="D8" s="47"/>
    </row>
    <row r="10" spans="2:11">
      <c r="C10" s="61" t="s">
        <v>24</v>
      </c>
      <c r="D10" s="61"/>
      <c r="E10" s="61"/>
      <c r="F10" s="61"/>
      <c r="G10" s="61"/>
      <c r="H10" s="61"/>
      <c r="I10" s="61"/>
      <c r="J10" s="61"/>
      <c r="K10" s="61"/>
    </row>
    <row r="11" spans="2:11">
      <c r="B11" t="s">
        <v>9</v>
      </c>
      <c r="C11" s="30" t="s">
        <v>1</v>
      </c>
      <c r="D11" s="30" t="s">
        <v>2</v>
      </c>
      <c r="E11" s="30" t="s">
        <v>3</v>
      </c>
      <c r="F11" s="30" t="s">
        <v>4</v>
      </c>
      <c r="G11" s="30" t="s">
        <v>7</v>
      </c>
      <c r="H11" s="30" t="s">
        <v>6</v>
      </c>
      <c r="I11" s="30" t="s">
        <v>8</v>
      </c>
      <c r="J11" s="30" t="s">
        <v>19</v>
      </c>
      <c r="K11" s="30" t="s">
        <v>18</v>
      </c>
    </row>
    <row r="12" spans="2:11">
      <c r="B12">
        <v>1</v>
      </c>
      <c r="C12" s="30" t="s">
        <v>0</v>
      </c>
      <c r="D12" s="42">
        <f>D5</f>
        <v>45960</v>
      </c>
      <c r="E12" s="33">
        <v>0</v>
      </c>
      <c r="F12" s="31">
        <f t="shared" ref="F12:F21" si="0">+D12+E12</f>
        <v>45960</v>
      </c>
      <c r="G12" s="34">
        <v>0</v>
      </c>
      <c r="H12" s="34">
        <f>+G12*0.21</f>
        <v>0</v>
      </c>
      <c r="I12" s="34">
        <f>+G12+H12</f>
        <v>0</v>
      </c>
      <c r="J12" s="34">
        <f>(D3-D4)*1.1+I13</f>
        <v>430228.37000000005</v>
      </c>
      <c r="K12" s="34"/>
    </row>
    <row r="13" spans="2:11">
      <c r="B13">
        <v>2</v>
      </c>
      <c r="C13" s="30" t="s">
        <v>5</v>
      </c>
      <c r="D13" s="31">
        <f>+F12</f>
        <v>45960</v>
      </c>
      <c r="E13" s="33">
        <v>15</v>
      </c>
      <c r="F13" s="31">
        <f t="shared" si="0"/>
        <v>45975</v>
      </c>
      <c r="G13" s="34">
        <f>+D4</f>
        <v>28037</v>
      </c>
      <c r="H13" s="34">
        <f>+G13*0.21</f>
        <v>5887.7699999999995</v>
      </c>
      <c r="I13" s="34">
        <f>+G13+H13</f>
        <v>33924.769999999997</v>
      </c>
      <c r="J13" s="34">
        <f>+J12-I13</f>
        <v>396303.60000000003</v>
      </c>
      <c r="K13" s="34"/>
    </row>
    <row r="14" spans="2:11">
      <c r="B14">
        <v>3</v>
      </c>
      <c r="C14" s="30" t="s">
        <v>11</v>
      </c>
      <c r="D14" s="31">
        <f>+F13</f>
        <v>45975</v>
      </c>
      <c r="E14" s="33">
        <v>28</v>
      </c>
      <c r="F14" s="31">
        <f t="shared" si="0"/>
        <v>46003</v>
      </c>
      <c r="G14" s="34">
        <v>0</v>
      </c>
      <c r="H14" s="34">
        <v>0</v>
      </c>
      <c r="I14" s="34">
        <v>0</v>
      </c>
      <c r="J14" s="34">
        <f>+J13</f>
        <v>396303.60000000003</v>
      </c>
      <c r="K14" s="34"/>
    </row>
    <row r="15" spans="2:11">
      <c r="B15">
        <v>4</v>
      </c>
      <c r="C15" s="30" t="s">
        <v>17</v>
      </c>
      <c r="D15" s="31">
        <f>+F14</f>
        <v>46003</v>
      </c>
      <c r="E15" s="33">
        <v>90</v>
      </c>
      <c r="F15" s="31">
        <f t="shared" si="0"/>
        <v>46093</v>
      </c>
      <c r="G15" s="34">
        <v>0</v>
      </c>
      <c r="H15" s="34">
        <v>0</v>
      </c>
      <c r="I15" s="34">
        <v>0</v>
      </c>
      <c r="J15" s="34">
        <f>+J14</f>
        <v>396303.60000000003</v>
      </c>
      <c r="K15" s="34"/>
    </row>
    <row r="16" spans="2:11">
      <c r="B16">
        <v>5</v>
      </c>
      <c r="C16" s="30" t="s">
        <v>10</v>
      </c>
      <c r="D16" s="31">
        <f>+F14</f>
        <v>46003</v>
      </c>
      <c r="E16" s="33">
        <v>7</v>
      </c>
      <c r="F16" s="31">
        <f t="shared" si="0"/>
        <v>46010</v>
      </c>
      <c r="G16" s="35">
        <f>(D3-D4)*0.1</f>
        <v>36027.599999999999</v>
      </c>
      <c r="H16" s="34">
        <f>+G16*0.1</f>
        <v>3602.76</v>
      </c>
      <c r="I16" s="34">
        <f>+G16+H16</f>
        <v>39630.36</v>
      </c>
      <c r="J16" s="34">
        <f>+J14-I16</f>
        <v>356673.24000000005</v>
      </c>
      <c r="K16" s="34"/>
    </row>
    <row r="17" spans="2:11">
      <c r="B17">
        <v>6</v>
      </c>
      <c r="C17" s="30" t="s">
        <v>12</v>
      </c>
      <c r="D17" s="31">
        <f>+F16</f>
        <v>46010</v>
      </c>
      <c r="E17" s="33">
        <v>56</v>
      </c>
      <c r="F17" s="31">
        <f t="shared" si="0"/>
        <v>46066</v>
      </c>
      <c r="G17" s="34">
        <v>0</v>
      </c>
      <c r="H17" s="34">
        <v>0</v>
      </c>
      <c r="I17" s="34">
        <v>0</v>
      </c>
      <c r="J17" s="34">
        <f>+J16</f>
        <v>356673.24000000005</v>
      </c>
      <c r="K17" s="34"/>
    </row>
    <row r="18" spans="2:11">
      <c r="B18">
        <v>7</v>
      </c>
      <c r="C18" s="30" t="s">
        <v>15</v>
      </c>
      <c r="D18" s="31">
        <f>+F15</f>
        <v>46093</v>
      </c>
      <c r="E18" s="33">
        <v>7</v>
      </c>
      <c r="F18" s="31">
        <f t="shared" si="0"/>
        <v>46100</v>
      </c>
      <c r="G18" s="34"/>
      <c r="H18" s="34"/>
      <c r="I18" s="34"/>
      <c r="J18" s="34"/>
      <c r="K18" s="34">
        <f>((D3-D4)-((D3-D4)*0.2))*0.04</f>
        <v>11528.832</v>
      </c>
    </row>
    <row r="19" spans="2:11">
      <c r="B19">
        <v>8</v>
      </c>
      <c r="C19" s="30" t="s">
        <v>13</v>
      </c>
      <c r="D19" s="31">
        <f>+F15</f>
        <v>46093</v>
      </c>
      <c r="E19" s="33">
        <v>15</v>
      </c>
      <c r="F19" s="31">
        <f t="shared" si="0"/>
        <v>46108</v>
      </c>
      <c r="G19" s="34">
        <f>(D3-D4)*0.2</f>
        <v>72055.199999999997</v>
      </c>
      <c r="H19" s="34">
        <f>+G19*0.1</f>
        <v>7205.52</v>
      </c>
      <c r="I19" s="34">
        <f>+G19+H19</f>
        <v>79260.72</v>
      </c>
      <c r="J19" s="34">
        <f>+J16-I19</f>
        <v>277412.52</v>
      </c>
      <c r="K19" s="34"/>
    </row>
    <row r="20" spans="2:11">
      <c r="B20">
        <v>9</v>
      </c>
      <c r="C20" s="30" t="s">
        <v>14</v>
      </c>
      <c r="D20" s="31">
        <f>+F19</f>
        <v>46108</v>
      </c>
      <c r="E20" s="33">
        <v>15</v>
      </c>
      <c r="F20" s="31">
        <f t="shared" si="0"/>
        <v>46123</v>
      </c>
      <c r="G20" s="34">
        <v>0</v>
      </c>
      <c r="H20" s="34">
        <v>0</v>
      </c>
      <c r="I20" s="34">
        <v>0</v>
      </c>
      <c r="J20" s="34">
        <f>+J19</f>
        <v>277412.52</v>
      </c>
      <c r="K20" s="34"/>
    </row>
    <row r="21" spans="2:11">
      <c r="B21">
        <v>10</v>
      </c>
      <c r="C21" s="30" t="s">
        <v>16</v>
      </c>
      <c r="D21" s="31">
        <f>+F20</f>
        <v>46123</v>
      </c>
      <c r="E21" s="33">
        <v>180</v>
      </c>
      <c r="F21" s="31">
        <f t="shared" si="0"/>
        <v>46303</v>
      </c>
      <c r="G21" s="34">
        <f>+I21/1.1</f>
        <v>252193.19999999998</v>
      </c>
      <c r="H21" s="34">
        <f>+I21-G21</f>
        <v>25219.320000000036</v>
      </c>
      <c r="I21" s="34">
        <f>+J20</f>
        <v>277412.52</v>
      </c>
      <c r="J21" s="34">
        <v>0</v>
      </c>
      <c r="K21" s="34"/>
    </row>
    <row r="22" spans="2:11">
      <c r="E22" s="51"/>
      <c r="F22" s="50"/>
      <c r="G22" s="49"/>
    </row>
    <row r="23" spans="2:11" ht="15.6" customHeight="1">
      <c r="C23" s="59" t="s">
        <v>26</v>
      </c>
      <c r="D23" s="60"/>
      <c r="E23" s="60"/>
      <c r="F23" s="60"/>
      <c r="G23" s="60"/>
      <c r="H23" s="60"/>
      <c r="I23" s="60"/>
      <c r="J23" s="60"/>
      <c r="K23" s="60"/>
    </row>
    <row r="24" spans="2:11">
      <c r="C24" s="60"/>
      <c r="D24" s="60"/>
      <c r="E24" s="60"/>
      <c r="F24" s="60"/>
      <c r="G24" s="60"/>
      <c r="H24" s="60"/>
      <c r="I24" s="60"/>
      <c r="J24" s="60"/>
      <c r="K24" s="60"/>
    </row>
    <row r="25" spans="2:11">
      <c r="C25" s="60"/>
      <c r="D25" s="60"/>
      <c r="E25" s="60"/>
      <c r="F25" s="60"/>
      <c r="G25" s="60"/>
      <c r="H25" s="60"/>
      <c r="I25" s="60"/>
      <c r="J25" s="60"/>
      <c r="K25" s="60"/>
    </row>
    <row r="26" spans="2:11">
      <c r="C26" s="60"/>
      <c r="D26" s="60"/>
      <c r="E26" s="60"/>
      <c r="F26" s="60"/>
      <c r="G26" s="60"/>
      <c r="H26" s="60"/>
      <c r="I26" s="60"/>
      <c r="J26" s="60"/>
      <c r="K26" s="60"/>
    </row>
    <row r="27" spans="2:11">
      <c r="D27" s="10" t="s">
        <v>20</v>
      </c>
      <c r="E27">
        <f>+D12</f>
        <v>45960</v>
      </c>
    </row>
    <row r="28" spans="2:11">
      <c r="D28" s="10" t="s">
        <v>21</v>
      </c>
      <c r="E28">
        <f>+F21+2</f>
        <v>46305</v>
      </c>
    </row>
    <row r="29" spans="2:11">
      <c r="C29" s="10"/>
      <c r="D29" s="9"/>
    </row>
    <row r="30" spans="2:11">
      <c r="C30" s="61" t="s">
        <v>23</v>
      </c>
      <c r="D30" s="61"/>
      <c r="E30" s="61"/>
    </row>
    <row r="31" spans="2:11">
      <c r="B31" t="s">
        <v>9</v>
      </c>
      <c r="C31" s="30" t="s">
        <v>1</v>
      </c>
      <c r="D31" s="30" t="s">
        <v>4</v>
      </c>
      <c r="E31" s="30" t="s">
        <v>8</v>
      </c>
    </row>
    <row r="32" spans="2:11">
      <c r="B32">
        <v>1</v>
      </c>
      <c r="C32" s="30" t="s">
        <v>0</v>
      </c>
      <c r="D32" s="31">
        <f>F12</f>
        <v>45960</v>
      </c>
      <c r="E32" s="32"/>
    </row>
    <row r="33" spans="2:5">
      <c r="B33">
        <v>2</v>
      </c>
      <c r="C33" s="30" t="s">
        <v>5</v>
      </c>
      <c r="D33" s="31">
        <f t="shared" ref="D33:D41" si="1">F13</f>
        <v>45975</v>
      </c>
      <c r="E33" s="32">
        <f t="shared" ref="E33:E41" si="2">I13</f>
        <v>33924.769999999997</v>
      </c>
    </row>
    <row r="34" spans="2:5">
      <c r="B34">
        <v>3</v>
      </c>
      <c r="C34" s="30" t="s">
        <v>11</v>
      </c>
      <c r="D34" s="31">
        <f t="shared" si="1"/>
        <v>46003</v>
      </c>
      <c r="E34" s="32"/>
    </row>
    <row r="35" spans="2:5">
      <c r="B35">
        <v>4</v>
      </c>
      <c r="C35" s="30" t="s">
        <v>17</v>
      </c>
      <c r="D35" s="31">
        <f t="shared" si="1"/>
        <v>46093</v>
      </c>
      <c r="E35" s="32"/>
    </row>
    <row r="36" spans="2:5">
      <c r="B36">
        <v>5</v>
      </c>
      <c r="C36" s="30" t="s">
        <v>10</v>
      </c>
      <c r="D36" s="31">
        <f t="shared" si="1"/>
        <v>46010</v>
      </c>
      <c r="E36" s="32">
        <f t="shared" si="2"/>
        <v>39630.36</v>
      </c>
    </row>
    <row r="37" spans="2:5">
      <c r="B37">
        <v>6</v>
      </c>
      <c r="C37" s="30" t="s">
        <v>12</v>
      </c>
      <c r="D37" s="31">
        <f t="shared" si="1"/>
        <v>46066</v>
      </c>
      <c r="E37" s="32"/>
    </row>
    <row r="38" spans="2:5">
      <c r="B38">
        <v>7</v>
      </c>
      <c r="C38" s="30" t="s">
        <v>15</v>
      </c>
      <c r="D38" s="31">
        <f t="shared" si="1"/>
        <v>46100</v>
      </c>
      <c r="E38" s="32"/>
    </row>
    <row r="39" spans="2:5">
      <c r="B39">
        <v>8</v>
      </c>
      <c r="C39" s="30" t="s">
        <v>13</v>
      </c>
      <c r="D39" s="31">
        <f t="shared" si="1"/>
        <v>46108</v>
      </c>
      <c r="E39" s="32">
        <f t="shared" si="2"/>
        <v>79260.72</v>
      </c>
    </row>
    <row r="40" spans="2:5">
      <c r="B40">
        <v>9</v>
      </c>
      <c r="C40" s="30" t="s">
        <v>14</v>
      </c>
      <c r="D40" s="31">
        <f t="shared" si="1"/>
        <v>46123</v>
      </c>
      <c r="E40" s="32"/>
    </row>
    <row r="41" spans="2:5">
      <c r="B41">
        <v>10</v>
      </c>
      <c r="C41" s="30" t="s">
        <v>16</v>
      </c>
      <c r="D41" s="31">
        <f t="shared" si="1"/>
        <v>46303</v>
      </c>
      <c r="E41" s="32">
        <f t="shared" si="2"/>
        <v>277412.52</v>
      </c>
    </row>
  </sheetData>
  <mergeCells count="9">
    <mergeCell ref="C2:F2"/>
    <mergeCell ref="D7:F7"/>
    <mergeCell ref="C23:K26"/>
    <mergeCell ref="C30:E30"/>
    <mergeCell ref="C10:K10"/>
    <mergeCell ref="D3:F3"/>
    <mergeCell ref="D4:F4"/>
    <mergeCell ref="D5:F5"/>
    <mergeCell ref="D6:F6"/>
  </mergeCells>
  <pageMargins left="0.7" right="0.7" top="0.75" bottom="0.75" header="0.3" footer="0.3"/>
  <pageSetup paperSize="9" orientation="portrait" r:id="rId1"/>
  <ignoredErrors>
    <ignoredError sqref="D16" formula="1"/>
    <ignoredError xmlns:x16r3="http://schemas.microsoft.com/office/spreadsheetml/2018/08/main" sqref="E27" x16r3:misleadingForma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7973A-4A4A-4776-9E81-DA31CB710C78}">
  <sheetPr codeName="Hoja6">
    <tabColor rgb="FF92D050"/>
    <pageSetUpPr fitToPage="1"/>
  </sheetPr>
  <dimension ref="B2:W59"/>
  <sheetViews>
    <sheetView tabSelected="1" topLeftCell="E24" zoomScale="70" zoomScaleNormal="70" workbookViewId="0">
      <selection activeCell="G40" sqref="G40:R57"/>
    </sheetView>
  </sheetViews>
  <sheetFormatPr baseColWidth="10" defaultRowHeight="15.6"/>
  <cols>
    <col min="1" max="1" width="1.3984375" customWidth="1"/>
    <col min="2" max="2" width="11.19921875" customWidth="1"/>
    <col min="5" max="5" width="16.5" customWidth="1"/>
    <col min="6" max="6" width="11.296875" bestFit="1" customWidth="1"/>
    <col min="7" max="7" width="12.69921875" customWidth="1"/>
    <col min="8" max="8" width="12.59765625" customWidth="1"/>
    <col min="9" max="9" width="12.8984375" customWidth="1"/>
    <col min="10" max="11" width="12.5" customWidth="1"/>
    <col min="12" max="12" width="12.19921875" customWidth="1"/>
    <col min="13" max="13" width="11.5" customWidth="1"/>
    <col min="14" max="14" width="12.59765625" customWidth="1"/>
    <col min="15" max="15" width="11.8984375" bestFit="1" customWidth="1"/>
    <col min="16" max="16" width="12.69921875" customWidth="1"/>
    <col min="17" max="17" width="13.3984375" bestFit="1" customWidth="1"/>
    <col min="18" max="18" width="11.8984375" bestFit="1" customWidth="1"/>
  </cols>
  <sheetData>
    <row r="2" spans="2:23" ht="45">
      <c r="B2" s="1"/>
      <c r="C2" s="2"/>
      <c r="D2" s="2"/>
      <c r="E2" s="3"/>
      <c r="F2" s="3"/>
      <c r="G2" s="3"/>
      <c r="W2" s="48" t="str">
        <f>Pagos!D6</f>
        <v>José Vila Sanchís</v>
      </c>
    </row>
    <row r="3" spans="2:23" ht="27.6">
      <c r="B3" s="1"/>
      <c r="C3" s="2"/>
      <c r="D3" s="2"/>
      <c r="E3" s="3"/>
      <c r="F3" s="3"/>
      <c r="G3" s="3"/>
      <c r="W3" s="52" t="str">
        <f>Pagos!D7</f>
        <v>C/ Artes Graficas n°18 La Pobla de Vallbona 46185
La Pobla de Vallbona 46185</v>
      </c>
    </row>
    <row r="4" spans="2:23">
      <c r="B4" s="4"/>
      <c r="C4" s="4"/>
      <c r="D4" s="4"/>
      <c r="E4" s="5"/>
      <c r="F4" s="5"/>
      <c r="G4" s="5"/>
    </row>
    <row r="5" spans="2:23" ht="22.8">
      <c r="C5" s="6"/>
      <c r="D5" s="6"/>
      <c r="E5" s="7"/>
      <c r="F5" s="36"/>
      <c r="G5" s="7"/>
      <c r="H5" s="7"/>
    </row>
    <row r="6" spans="2:23" ht="45">
      <c r="B6" s="76" t="s">
        <v>22</v>
      </c>
      <c r="C6" s="76"/>
      <c r="D6" s="76"/>
      <c r="E6" s="76"/>
      <c r="F6" s="76"/>
      <c r="G6" s="76"/>
      <c r="H6" s="76"/>
      <c r="I6" s="76"/>
      <c r="J6" s="76"/>
      <c r="K6" s="76"/>
      <c r="L6" s="76"/>
      <c r="M6" s="76"/>
      <c r="N6" s="76"/>
      <c r="O6" s="76"/>
      <c r="P6" s="76"/>
      <c r="Q6" s="76"/>
      <c r="R6" s="76"/>
      <c r="S6" s="76"/>
      <c r="T6" s="76"/>
      <c r="U6" s="76"/>
      <c r="V6" s="76"/>
      <c r="W6" s="76"/>
    </row>
    <row r="7" spans="2:23" ht="45">
      <c r="B7" s="8"/>
      <c r="C7" s="8"/>
      <c r="D7" s="8"/>
      <c r="E7" s="8"/>
      <c r="F7" s="8"/>
      <c r="G7" s="8"/>
      <c r="H7" s="8"/>
      <c r="I7" s="8"/>
      <c r="J7" s="8"/>
      <c r="K7" s="8"/>
      <c r="L7" s="8"/>
      <c r="M7" s="8"/>
      <c r="N7" s="8"/>
      <c r="O7" s="8"/>
      <c r="P7" s="8"/>
      <c r="Q7" s="8"/>
      <c r="R7" s="8"/>
      <c r="S7" s="8"/>
      <c r="T7" s="8"/>
      <c r="U7" s="8"/>
      <c r="V7" s="8"/>
      <c r="W7" s="8"/>
    </row>
    <row r="36" spans="2:18" ht="15.6" customHeight="1">
      <c r="C36" s="14"/>
      <c r="D36" s="14"/>
      <c r="E36" s="14"/>
      <c r="F36" s="14"/>
      <c r="G36" s="14"/>
      <c r="H36" s="14"/>
      <c r="I36" s="14"/>
      <c r="J36" s="14"/>
      <c r="K36" s="14"/>
      <c r="L36" s="14"/>
      <c r="M36" s="14"/>
    </row>
    <row r="37" spans="2:18">
      <c r="B37" s="14"/>
      <c r="C37" s="14"/>
      <c r="D37" s="14"/>
      <c r="F37" s="15"/>
      <c r="G37" s="15"/>
      <c r="H37" s="15"/>
      <c r="I37" s="15"/>
      <c r="J37" s="15"/>
      <c r="K37" s="15"/>
      <c r="L37" s="15"/>
      <c r="M37" s="15"/>
    </row>
    <row r="38" spans="2:18">
      <c r="B38" s="15" t="s">
        <v>25</v>
      </c>
      <c r="C38" s="14"/>
      <c r="D38" s="14"/>
      <c r="F38" s="15"/>
      <c r="G38" s="15"/>
      <c r="H38" s="15"/>
      <c r="I38" s="15"/>
      <c r="J38" s="15"/>
      <c r="K38" s="15"/>
      <c r="L38" s="15"/>
      <c r="M38" s="15"/>
    </row>
    <row r="39" spans="2:18" ht="16.2" thickBot="1">
      <c r="B39" s="12"/>
      <c r="C39" s="12"/>
      <c r="D39" s="12"/>
      <c r="E39" s="12"/>
      <c r="F39" s="12"/>
      <c r="G39" s="12"/>
      <c r="H39" s="12"/>
      <c r="I39" s="12"/>
      <c r="J39" s="12"/>
      <c r="K39" s="12"/>
      <c r="L39" s="12"/>
      <c r="M39" s="12"/>
    </row>
    <row r="40" spans="2:18" ht="43.2" thickBot="1">
      <c r="G40" s="79" t="s">
        <v>30</v>
      </c>
      <c r="H40" s="80"/>
      <c r="I40" s="80"/>
      <c r="J40" s="80"/>
      <c r="K40" s="80"/>
      <c r="L40" s="80"/>
      <c r="M40" s="80"/>
      <c r="N40" s="80"/>
      <c r="O40" s="80"/>
      <c r="P40" s="80"/>
      <c r="Q40" s="80"/>
      <c r="R40" s="81"/>
    </row>
    <row r="41" spans="2:18" ht="46.2" customHeight="1">
      <c r="G41" s="82" t="str">
        <f>Pagos!C11</f>
        <v>Actividad</v>
      </c>
      <c r="H41" s="83"/>
      <c r="I41" s="83"/>
      <c r="J41" s="83"/>
      <c r="K41" s="16" t="str">
        <f>Pagos!D11</f>
        <v>Inicio</v>
      </c>
      <c r="L41" s="16" t="str">
        <f>Pagos!E11</f>
        <v>Dias</v>
      </c>
      <c r="M41" s="16" t="str">
        <f>Pagos!F11</f>
        <v>Final</v>
      </c>
      <c r="N41" s="16" t="str">
        <f>Pagos!G11</f>
        <v>Base</v>
      </c>
      <c r="O41" s="16" t="str">
        <f>Pagos!H11</f>
        <v>IVA</v>
      </c>
      <c r="P41" s="16" t="str">
        <f>Pagos!I11</f>
        <v>Total</v>
      </c>
      <c r="Q41" s="16" t="str">
        <f>Pagos!J11</f>
        <v>Ppto pendiente pago c/IVA</v>
      </c>
      <c r="R41" s="17" t="str">
        <f>Pagos!K11</f>
        <v>Pagos habituales ayto</v>
      </c>
    </row>
    <row r="42" spans="2:18">
      <c r="C42" s="37"/>
      <c r="G42" s="72" t="str">
        <f>Pagos!C12</f>
        <v>Presentación ITP</v>
      </c>
      <c r="H42" s="73"/>
      <c r="I42" s="73"/>
      <c r="J42" s="73"/>
      <c r="K42" s="18">
        <f>Pagos!D12</f>
        <v>45960</v>
      </c>
      <c r="L42" s="19">
        <f>Pagos!E12</f>
        <v>0</v>
      </c>
      <c r="M42" s="18">
        <f>Pagos!F12</f>
        <v>45960</v>
      </c>
      <c r="N42" s="20">
        <f>Pagos!G12</f>
        <v>0</v>
      </c>
      <c r="O42" s="20">
        <f>Pagos!H12</f>
        <v>0</v>
      </c>
      <c r="P42" s="20">
        <f>Pagos!I12</f>
        <v>0</v>
      </c>
      <c r="Q42" s="20">
        <f>Pagos!J12</f>
        <v>430228.37000000005</v>
      </c>
      <c r="R42" s="21">
        <f>Pagos!K12</f>
        <v>0</v>
      </c>
    </row>
    <row r="43" spans="2:18">
      <c r="C43" s="37"/>
      <c r="G43" s="77" t="str">
        <f>Pagos!C13</f>
        <v>Contratación proyecto</v>
      </c>
      <c r="H43" s="78"/>
      <c r="I43" s="78"/>
      <c r="J43" s="78"/>
      <c r="K43" s="22">
        <f>Pagos!D13</f>
        <v>45960</v>
      </c>
      <c r="L43" s="23">
        <f>Pagos!E13</f>
        <v>15</v>
      </c>
      <c r="M43" s="22">
        <f>Pagos!F13</f>
        <v>45975</v>
      </c>
      <c r="N43" s="24">
        <f>Pagos!G13</f>
        <v>28037</v>
      </c>
      <c r="O43" s="24">
        <f>Pagos!H13</f>
        <v>5887.7699999999995</v>
      </c>
      <c r="P43" s="24">
        <f>Pagos!I13</f>
        <v>33924.769999999997</v>
      </c>
      <c r="Q43" s="24">
        <f>Pagos!J13</f>
        <v>396303.60000000003</v>
      </c>
      <c r="R43" s="25">
        <f>Pagos!K13</f>
        <v>0</v>
      </c>
    </row>
    <row r="44" spans="2:18">
      <c r="G44" s="72" t="str">
        <f>Pagos!C14</f>
        <v>Redacción del Proyecto básico y presentación al ayuntamiento</v>
      </c>
      <c r="H44" s="73"/>
      <c r="I44" s="73"/>
      <c r="J44" s="73"/>
      <c r="K44" s="18">
        <f>Pagos!D14</f>
        <v>45975</v>
      </c>
      <c r="L44" s="19">
        <f>Pagos!E14</f>
        <v>28</v>
      </c>
      <c r="M44" s="18">
        <f>Pagos!F14</f>
        <v>46003</v>
      </c>
      <c r="N44" s="20">
        <f>Pagos!G14</f>
        <v>0</v>
      </c>
      <c r="O44" s="20">
        <f>Pagos!H14</f>
        <v>0</v>
      </c>
      <c r="P44" s="20">
        <f>Pagos!I14</f>
        <v>0</v>
      </c>
      <c r="Q44" s="20">
        <f>Pagos!J14</f>
        <v>396303.60000000003</v>
      </c>
      <c r="R44" s="21">
        <f>Pagos!K14</f>
        <v>0</v>
      </c>
    </row>
    <row r="45" spans="2:18">
      <c r="G45" s="74" t="str">
        <f>Pagos!C15</f>
        <v>Obtención licencia</v>
      </c>
      <c r="H45" s="75"/>
      <c r="I45" s="75"/>
      <c r="J45" s="75"/>
      <c r="K45" s="26">
        <f>Pagos!D15</f>
        <v>46003</v>
      </c>
      <c r="L45" s="27">
        <f>Pagos!E15</f>
        <v>90</v>
      </c>
      <c r="M45" s="26">
        <f>Pagos!F15</f>
        <v>46093</v>
      </c>
      <c r="N45" s="28">
        <f>Pagos!G15</f>
        <v>0</v>
      </c>
      <c r="O45" s="28">
        <f>Pagos!H15</f>
        <v>0</v>
      </c>
      <c r="P45" s="28">
        <f>Pagos!I15</f>
        <v>0</v>
      </c>
      <c r="Q45" s="28">
        <f>Pagos!J15</f>
        <v>396303.60000000003</v>
      </c>
      <c r="R45" s="29">
        <f>Pagos!K15</f>
        <v>0</v>
      </c>
    </row>
    <row r="46" spans="2:18">
      <c r="G46" s="72" t="str">
        <f>Pagos!C16</f>
        <v>Pago preparación obra</v>
      </c>
      <c r="H46" s="73"/>
      <c r="I46" s="73"/>
      <c r="J46" s="73"/>
      <c r="K46" s="18">
        <f>Pagos!D16</f>
        <v>46003</v>
      </c>
      <c r="L46" s="19">
        <f>Pagos!E16</f>
        <v>7</v>
      </c>
      <c r="M46" s="18">
        <f>Pagos!F16</f>
        <v>46010</v>
      </c>
      <c r="N46" s="20">
        <f>Pagos!G16</f>
        <v>36027.599999999999</v>
      </c>
      <c r="O46" s="20">
        <f>Pagos!H16</f>
        <v>3602.76</v>
      </c>
      <c r="P46" s="20">
        <f>Pagos!I16</f>
        <v>39630.36</v>
      </c>
      <c r="Q46" s="20">
        <f>Pagos!J16</f>
        <v>356673.24000000005</v>
      </c>
      <c r="R46" s="21">
        <f>Pagos!K16</f>
        <v>0</v>
      </c>
    </row>
    <row r="47" spans="2:18">
      <c r="G47" s="74" t="str">
        <f>Pagos!C17</f>
        <v>Redacción proyecto ejecutivo, visado y presentación ayuntamiento</v>
      </c>
      <c r="H47" s="75"/>
      <c r="I47" s="75"/>
      <c r="J47" s="75"/>
      <c r="K47" s="26">
        <f>Pagos!D17</f>
        <v>46010</v>
      </c>
      <c r="L47" s="27">
        <f>Pagos!E17</f>
        <v>56</v>
      </c>
      <c r="M47" s="26">
        <f>Pagos!F17</f>
        <v>46066</v>
      </c>
      <c r="N47" s="28">
        <f>Pagos!G17</f>
        <v>0</v>
      </c>
      <c r="O47" s="28">
        <f>Pagos!H17</f>
        <v>0</v>
      </c>
      <c r="P47" s="28">
        <f>Pagos!I17</f>
        <v>0</v>
      </c>
      <c r="Q47" s="28">
        <f>Pagos!J17</f>
        <v>356673.24000000005</v>
      </c>
      <c r="R47" s="29">
        <f>Pagos!K17</f>
        <v>0</v>
      </c>
    </row>
    <row r="48" spans="2:18">
      <c r="G48" s="72" t="str">
        <f>Pagos!C18</f>
        <v>Pago licencia de obra (Ajuntamiento)</v>
      </c>
      <c r="H48" s="73"/>
      <c r="I48" s="73"/>
      <c r="J48" s="73"/>
      <c r="K48" s="18">
        <f>Pagos!D18</f>
        <v>46093</v>
      </c>
      <c r="L48" s="19">
        <f>Pagos!E18</f>
        <v>7</v>
      </c>
      <c r="M48" s="18">
        <f>Pagos!F18</f>
        <v>46100</v>
      </c>
      <c r="N48" s="20">
        <f>Pagos!G18</f>
        <v>0</v>
      </c>
      <c r="O48" s="20">
        <f>Pagos!H18</f>
        <v>0</v>
      </c>
      <c r="P48" s="20">
        <f>Pagos!I18</f>
        <v>0</v>
      </c>
      <c r="Q48" s="20">
        <f>Pagos!J18</f>
        <v>0</v>
      </c>
      <c r="R48" s="21">
        <f>Pagos!K18</f>
        <v>11528.832</v>
      </c>
    </row>
    <row r="49" spans="2:20">
      <c r="G49" s="74" t="str">
        <f>Pagos!C19</f>
        <v>Pago inicio obra</v>
      </c>
      <c r="H49" s="75"/>
      <c r="I49" s="75"/>
      <c r="J49" s="75"/>
      <c r="K49" s="26">
        <f>Pagos!D19</f>
        <v>46093</v>
      </c>
      <c r="L49" s="27">
        <f>Pagos!E19</f>
        <v>15</v>
      </c>
      <c r="M49" s="26">
        <f>Pagos!F19</f>
        <v>46108</v>
      </c>
      <c r="N49" s="28">
        <f>Pagos!G19</f>
        <v>72055.199999999997</v>
      </c>
      <c r="O49" s="28">
        <f>Pagos!H19</f>
        <v>7205.52</v>
      </c>
      <c r="P49" s="28">
        <f>Pagos!I19</f>
        <v>79260.72</v>
      </c>
      <c r="Q49" s="28">
        <f>Pagos!J19</f>
        <v>277412.52</v>
      </c>
      <c r="R49" s="29">
        <f>Pagos!K19</f>
        <v>0</v>
      </c>
    </row>
    <row r="50" spans="2:20">
      <c r="G50" s="72" t="str">
        <f>Pagos!C20</f>
        <v>Inicio obra</v>
      </c>
      <c r="H50" s="73"/>
      <c r="I50" s="73"/>
      <c r="J50" s="73"/>
      <c r="K50" s="18">
        <f>Pagos!D20</f>
        <v>46108</v>
      </c>
      <c r="L50" s="19">
        <f>Pagos!E20</f>
        <v>15</v>
      </c>
      <c r="M50" s="18">
        <f>Pagos!F20</f>
        <v>46123</v>
      </c>
      <c r="N50" s="20">
        <f>Pagos!G20</f>
        <v>0</v>
      </c>
      <c r="O50" s="20">
        <f>Pagos!H20</f>
        <v>0</v>
      </c>
      <c r="P50" s="20">
        <f>Pagos!I20</f>
        <v>0</v>
      </c>
      <c r="Q50" s="20">
        <f>Pagos!J20</f>
        <v>277412.52</v>
      </c>
      <c r="R50" s="21">
        <f>Pagos!K20</f>
        <v>0</v>
      </c>
    </row>
    <row r="51" spans="2:20" ht="15.6" customHeight="1" thickBot="1">
      <c r="C51" s="13"/>
      <c r="E51" s="13"/>
      <c r="F51" s="13"/>
      <c r="G51" s="69" t="str">
        <f>Pagos!C21</f>
        <v>Certificaciones de obra ( con la ultima la obra queda pagada)</v>
      </c>
      <c r="H51" s="70"/>
      <c r="I51" s="70"/>
      <c r="J51" s="70"/>
      <c r="K51" s="38">
        <f>Pagos!D21</f>
        <v>46123</v>
      </c>
      <c r="L51" s="39">
        <f>Pagos!E21</f>
        <v>180</v>
      </c>
      <c r="M51" s="38">
        <f>Pagos!F21</f>
        <v>46303</v>
      </c>
      <c r="N51" s="40">
        <f>Pagos!G21</f>
        <v>252193.19999999998</v>
      </c>
      <c r="O51" s="40">
        <f>Pagos!H21</f>
        <v>25219.320000000036</v>
      </c>
      <c r="P51" s="40">
        <f>Pagos!I21</f>
        <v>277412.52</v>
      </c>
      <c r="Q51" s="40">
        <f>Pagos!J21</f>
        <v>0</v>
      </c>
      <c r="R51" s="41">
        <f>Pagos!K21</f>
        <v>0</v>
      </c>
    </row>
    <row r="52" spans="2:20" ht="15.6" customHeight="1">
      <c r="B52" s="13"/>
      <c r="C52" s="13"/>
      <c r="E52" s="13"/>
      <c r="F52" s="13"/>
      <c r="H52" s="13"/>
      <c r="I52" s="13"/>
      <c r="J52" s="13"/>
      <c r="K52" s="13"/>
      <c r="L52" s="13"/>
      <c r="M52" s="13"/>
      <c r="N52" s="13"/>
      <c r="O52" s="13"/>
      <c r="P52" s="13"/>
      <c r="Q52" s="13"/>
      <c r="R52" s="13"/>
      <c r="S52" s="13"/>
      <c r="T52" s="13"/>
    </row>
    <row r="53" spans="2:20">
      <c r="B53" s="13"/>
      <c r="C53" s="13"/>
      <c r="D53" s="13"/>
      <c r="E53" s="13"/>
      <c r="F53" s="13"/>
      <c r="G53" s="71" t="str">
        <f>Pagos!C23</f>
        <v>*Las cifras que aparecen en esta planificación se plantean en base a la gama PREMIUM del presupuesto inicial que acompaña este documento. Se han determinado plazos de tiempo medios para la contratación del proyecto, la obtención de licencia de obra, el pago para la preparación de obra y para el inicio de esta, así como para el pago de la licencia de obra y el inicio efectivo de la obra. También se ha considerado un estimado medio el porcentaje para el calculo del coste de la licencia de obras a abonar al ayuntamiento. Se ha considerado el plazo de ejecución habitual en una casa de 100m2. El concepto preparación de la obra implica poder abonar a la empresa de esctucturas las cantidades necesarias para el calculo que el arquitecto necesita para redactar el proyecto ejecutivo que permitirá obtener la  licencia de obras del ayuntamiento. Sin este pago no se puede continuar con el proceso.</v>
      </c>
      <c r="H53" s="71"/>
      <c r="I53" s="71"/>
      <c r="J53" s="71"/>
      <c r="K53" s="71"/>
      <c r="L53" s="71"/>
      <c r="M53" s="71"/>
      <c r="N53" s="71"/>
      <c r="O53" s="71"/>
      <c r="P53" s="71"/>
      <c r="Q53" s="71"/>
      <c r="R53" s="71"/>
      <c r="S53" s="13"/>
      <c r="T53" s="13"/>
    </row>
    <row r="54" spans="2:20">
      <c r="C54" s="11"/>
      <c r="D54" s="13"/>
      <c r="E54" s="13"/>
      <c r="F54" s="13"/>
      <c r="G54" s="71"/>
      <c r="H54" s="71"/>
      <c r="I54" s="71"/>
      <c r="J54" s="71"/>
      <c r="K54" s="71"/>
      <c r="L54" s="71"/>
      <c r="M54" s="71"/>
      <c r="N54" s="71"/>
      <c r="O54" s="71"/>
      <c r="P54" s="71"/>
      <c r="Q54" s="71"/>
      <c r="R54" s="71"/>
      <c r="S54" s="13"/>
      <c r="T54" s="13"/>
    </row>
    <row r="55" spans="2:20">
      <c r="C55" s="11"/>
      <c r="D55" s="13"/>
      <c r="E55" s="13"/>
      <c r="F55" s="13"/>
      <c r="G55" s="71"/>
      <c r="H55" s="71"/>
      <c r="I55" s="71"/>
      <c r="J55" s="71"/>
      <c r="K55" s="71"/>
      <c r="L55" s="71"/>
      <c r="M55" s="71"/>
      <c r="N55" s="71"/>
      <c r="O55" s="71"/>
      <c r="P55" s="71"/>
      <c r="Q55" s="71"/>
      <c r="R55" s="71"/>
      <c r="S55" s="13"/>
      <c r="T55" s="13"/>
    </row>
    <row r="56" spans="2:20">
      <c r="G56" s="71"/>
      <c r="H56" s="71"/>
      <c r="I56" s="71"/>
      <c r="J56" s="71"/>
      <c r="K56" s="71"/>
      <c r="L56" s="71"/>
      <c r="M56" s="71"/>
      <c r="N56" s="71"/>
      <c r="O56" s="71"/>
      <c r="P56" s="71"/>
      <c r="Q56" s="71"/>
      <c r="R56" s="71"/>
    </row>
    <row r="57" spans="2:20">
      <c r="G57" s="71"/>
      <c r="H57" s="71"/>
      <c r="I57" s="71"/>
      <c r="J57" s="71"/>
      <c r="K57" s="71"/>
      <c r="L57" s="71"/>
      <c r="M57" s="71"/>
      <c r="N57" s="71"/>
      <c r="O57" s="71"/>
      <c r="P57" s="71"/>
      <c r="Q57" s="71"/>
      <c r="R57" s="71"/>
    </row>
    <row r="58" spans="2:20">
      <c r="G58" s="13"/>
      <c r="H58" s="13"/>
      <c r="I58" s="13"/>
      <c r="J58" s="13"/>
      <c r="K58" s="13"/>
      <c r="L58" s="13"/>
      <c r="M58" s="13"/>
      <c r="N58" s="13"/>
      <c r="O58" s="13"/>
      <c r="P58" s="13"/>
      <c r="Q58" s="13"/>
      <c r="R58" s="13"/>
    </row>
    <row r="59" spans="2:20">
      <c r="G59" s="13"/>
      <c r="H59" s="13"/>
      <c r="I59" s="13"/>
      <c r="J59" s="13"/>
      <c r="K59" s="13"/>
      <c r="L59" s="13"/>
      <c r="M59" s="13"/>
      <c r="N59" s="13"/>
      <c r="O59" s="13"/>
      <c r="P59" s="13"/>
      <c r="Q59" s="13"/>
      <c r="R59" s="13"/>
    </row>
  </sheetData>
  <mergeCells count="14">
    <mergeCell ref="B6:W6"/>
    <mergeCell ref="G42:J42"/>
    <mergeCell ref="G43:J43"/>
    <mergeCell ref="G44:J44"/>
    <mergeCell ref="G45:J45"/>
    <mergeCell ref="G40:R40"/>
    <mergeCell ref="G41:J41"/>
    <mergeCell ref="G51:J51"/>
    <mergeCell ref="G53:R57"/>
    <mergeCell ref="G46:J46"/>
    <mergeCell ref="G47:J47"/>
    <mergeCell ref="G48:J48"/>
    <mergeCell ref="G49:J49"/>
    <mergeCell ref="G50:J50"/>
  </mergeCells>
  <pageMargins left="0.11811023622047245" right="0.11811023622047245" top="0.39370078740157483" bottom="0.35433070866141736" header="0.31496062992125984" footer="0.31496062992125984"/>
  <pageSetup paperSize="9" scale="47"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Pagos</vt:lpstr>
      <vt:lpstr>Planificación y pagos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Alvaro Casanovas</dc:creator>
  <cp:keywords/>
  <dc:description/>
  <cp:lastModifiedBy>Buildlovers Technology</cp:lastModifiedBy>
  <cp:revision/>
  <cp:lastPrinted>2025-10-30T13:01:57Z</cp:lastPrinted>
  <dcterms:created xsi:type="dcterms:W3CDTF">2024-05-06T13:34:36Z</dcterms:created>
  <dcterms:modified xsi:type="dcterms:W3CDTF">2025-10-30T13:02:02Z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0x01010054517B0F6971604EB46AA4F875FEADF9</vt:lpwstr>
  </property>
  <property fmtid="{D5CDD505-2E9C-101B-9397-08002B2CF9AE}" pid="3" name="MediaServiceImageTags">
    <vt:lpwstr/>
  </property>
</Properties>
</file>